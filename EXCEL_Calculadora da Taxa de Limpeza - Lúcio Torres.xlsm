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tables/table2.xml" ContentType="application/vnd.openxmlformats-officedocument.spreadsheetml.table+xml"/>
  <Override PartName="/xl/comments7.xml" ContentType="application/vnd.openxmlformats-officedocument.spreadsheetml.comments+xml"/>
  <Override PartName="/xl/tables/table3.xml" ContentType="application/vnd.openxmlformats-officedocument.spreadsheetml.tab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io\Desktop\Seazone\"/>
    </mc:Choice>
  </mc:AlternateContent>
  <xr:revisionPtr revIDLastSave="0" documentId="13_ncr:1_{2D6F7FD7-7019-45DA-B1E1-8EC9E627FFB9}" xr6:coauthVersionLast="47" xr6:coauthVersionMax="47" xr10:uidLastSave="{00000000-0000-0000-0000-000000000000}"/>
  <bookViews>
    <workbookView xWindow="-120" yWindow="-120" windowWidth="29040" windowHeight="15840" tabRatio="822" xr2:uid="{00000000-000D-0000-FFFF-FFFF00000000}"/>
  </bookViews>
  <sheets>
    <sheet name="TaxaLimpeza (Proposta)" sheetId="12" r:id="rId1"/>
    <sheet name="Diferença Atual e Proposta " sheetId="13" r:id="rId2"/>
    <sheet name="TaxaLimpeza (Atual)" sheetId="2" r:id="rId3"/>
    <sheet name="BD - Valor Lavanderia Por Item" sheetId="3" r:id="rId4"/>
    <sheet name="BD - Valor Limpeza Diarista" sheetId="5" r:id="rId5"/>
    <sheet name="BD - Itens x Peso" sheetId="4" r:id="rId6"/>
    <sheet name="BD - Amenities" sheetId="6" r:id="rId7"/>
    <sheet name="BD - Material de Limpeza" sheetId="7" r:id="rId8"/>
    <sheet name="Configuração-Imóvel" sheetId="8" r:id="rId9"/>
    <sheet name="Estoque-Imóvel" sheetId="9" r:id="rId10"/>
  </sheets>
  <definedNames>
    <definedName name="_xlnm._FilterDatabase" localSheetId="3" hidden="1">'BD - Valor Lavanderia Por Item'!$A$1:$R$954</definedName>
    <definedName name="_xlnm._FilterDatabase" localSheetId="8" hidden="1">'Configuração-Imóvel'!$A$1:$R$1</definedName>
    <definedName name="_xlnm._FilterDatabase" localSheetId="9" hidden="1">'Estoque-Imóvel'!$A$1:$AC$1</definedName>
    <definedName name="_xlnm._FilterDatabase" localSheetId="2" hidden="1">'TaxaLimpeza (Atual)'!$A$1:$B$32</definedName>
    <definedName name="_xlnm._FilterDatabase" localSheetId="0" hidden="1">'TaxaLimpeza (Proposta)'!#REF!</definedName>
    <definedName name="Z_B810B3F9_511F_4A45_9EBE_B4951F95F51C_.wvu.FilterData" localSheetId="3" hidden="1">'BD - Valor Lavanderia Por Item'!$A$1:$R$9</definedName>
    <definedName name="Z_D759690A_A0D8_44E5_A136_45926EDE3DE1_.wvu.FilterData" localSheetId="8" hidden="1">'Configuração-Imóvel'!$A$1:$R$21</definedName>
    <definedName name="Z_D759690A_A0D8_44E5_A136_45926EDE3DE1_.wvu.FilterData" localSheetId="9" hidden="1">'Estoque-Imóvel'!$A$1:$E$21</definedName>
    <definedName name="Z_D759690A_A0D8_44E5_A136_45926EDE3DE1_.wvu.FilterData" localSheetId="0" hidden="1">'TaxaLimpeza (Proposta)'!$A$2:$E$23</definedName>
    <definedName name="Z_FCB22770_5D50_47F2_A739_097820F08890_.wvu.FilterData" localSheetId="8" hidden="1">'Configuração-Imóvel'!$A$1:$R$21</definedName>
    <definedName name="Z_FCB22770_5D50_47F2_A739_097820F08890_.wvu.FilterData" localSheetId="9" hidden="1">'Estoque-Imóvel'!$A$1:$E$21</definedName>
    <definedName name="Z_FCB22770_5D50_47F2_A739_097820F08890_.wvu.FilterData" localSheetId="0" hidden="1">'TaxaLimpeza (Proposta)'!$A$2:$E$23</definedName>
  </definedNames>
  <calcPr calcId="191029"/>
  <customWorkbookViews>
    <customWorkbookView name="Filtro 1" guid="{B810B3F9-511F-4A45-9EBE-B4951F95F51C}" maximized="1" windowWidth="0" windowHeight="0" activeSheetId="0"/>
    <customWorkbookView name="Filtro 2" guid="{D759690A-A0D8-44E5-A136-45926EDE3DE1}" maximized="1" windowWidth="0" windowHeight="0" activeSheetId="0"/>
    <customWorkbookView name="Filtro 3" guid="{FCB22770-5D50-47F2-A739-097820F08890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3" roundtripDataChecksum="/yNuC4n0n086KORkWeMIrOLa0oOlnXc/aPk+4aKK+u8="/>
    </ext>
  </extLst>
</workbook>
</file>

<file path=xl/calcChain.xml><?xml version="1.0" encoding="utf-8"?>
<calcChain xmlns="http://schemas.openxmlformats.org/spreadsheetml/2006/main">
  <c r="G3" i="13" l="1" a="1"/>
  <c r="G3" i="13" s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3" i="13"/>
  <c r="B20" i="13"/>
  <c r="D20" i="13" s="1"/>
  <c r="B21" i="13"/>
  <c r="D21" i="13" s="1"/>
  <c r="B22" i="13"/>
  <c r="D22" i="13" s="1"/>
  <c r="B4" i="13"/>
  <c r="D4" i="13" s="1"/>
  <c r="B5" i="13"/>
  <c r="D5" i="13" s="1"/>
  <c r="B6" i="13"/>
  <c r="D6" i="13" s="1"/>
  <c r="B7" i="13"/>
  <c r="B8" i="13"/>
  <c r="D8" i="13" s="1"/>
  <c r="B9" i="13"/>
  <c r="D9" i="13" s="1"/>
  <c r="B10" i="13"/>
  <c r="D10" i="13" s="1"/>
  <c r="B11" i="13"/>
  <c r="B12" i="13"/>
  <c r="B13" i="13"/>
  <c r="B14" i="13"/>
  <c r="B15" i="13"/>
  <c r="B16" i="13"/>
  <c r="D16" i="13" s="1"/>
  <c r="B17" i="13"/>
  <c r="D17" i="13" s="1"/>
  <c r="B18" i="13"/>
  <c r="D18" i="13" s="1"/>
  <c r="B19" i="13"/>
  <c r="B3" i="13"/>
  <c r="D3" i="13" s="1"/>
  <c r="CY4" i="12"/>
  <c r="CY5" i="12"/>
  <c r="CY6" i="12"/>
  <c r="CY7" i="12"/>
  <c r="CY8" i="12"/>
  <c r="CY9" i="12"/>
  <c r="CY10" i="12"/>
  <c r="CY11" i="12"/>
  <c r="CY12" i="12"/>
  <c r="CY13" i="12"/>
  <c r="CY14" i="12"/>
  <c r="CY15" i="12"/>
  <c r="CY16" i="12"/>
  <c r="CY17" i="12"/>
  <c r="CY18" i="12"/>
  <c r="CY19" i="12"/>
  <c r="CY20" i="12"/>
  <c r="CY21" i="12"/>
  <c r="CY22" i="12"/>
  <c r="CY23" i="12"/>
  <c r="CZ4" i="12"/>
  <c r="CZ5" i="12"/>
  <c r="CZ6" i="12"/>
  <c r="CZ7" i="12"/>
  <c r="CZ8" i="12"/>
  <c r="CZ9" i="12"/>
  <c r="CZ10" i="12"/>
  <c r="CZ11" i="12"/>
  <c r="CZ12" i="12"/>
  <c r="CZ13" i="12"/>
  <c r="CZ14" i="12"/>
  <c r="CZ15" i="12"/>
  <c r="CZ16" i="12"/>
  <c r="CZ17" i="12"/>
  <c r="CZ18" i="12"/>
  <c r="CZ19" i="12"/>
  <c r="CZ20" i="12"/>
  <c r="CZ21" i="12"/>
  <c r="CZ22" i="12"/>
  <c r="CZ23" i="12"/>
  <c r="DA4" i="12"/>
  <c r="DA5" i="12"/>
  <c r="DA6" i="12"/>
  <c r="DA7" i="12"/>
  <c r="DA8" i="12"/>
  <c r="DA9" i="12"/>
  <c r="DA10" i="12"/>
  <c r="DA11" i="12"/>
  <c r="DA12" i="12"/>
  <c r="DA13" i="12"/>
  <c r="DA14" i="12"/>
  <c r="DA15" i="12"/>
  <c r="DA16" i="12"/>
  <c r="DA17" i="12"/>
  <c r="DA18" i="12"/>
  <c r="DA19" i="12"/>
  <c r="DA20" i="12"/>
  <c r="DA21" i="12"/>
  <c r="DA22" i="12"/>
  <c r="DA23" i="12"/>
  <c r="DB4" i="12"/>
  <c r="DB5" i="12"/>
  <c r="DB6" i="12"/>
  <c r="DB7" i="12"/>
  <c r="DB8" i="12"/>
  <c r="DB9" i="12"/>
  <c r="DB10" i="12"/>
  <c r="DB11" i="12"/>
  <c r="DB12" i="12"/>
  <c r="DB13" i="12"/>
  <c r="DB14" i="12"/>
  <c r="DB15" i="12"/>
  <c r="DB16" i="12"/>
  <c r="DB17" i="12"/>
  <c r="DB18" i="12"/>
  <c r="DB19" i="12"/>
  <c r="DB20" i="12"/>
  <c r="DB21" i="12"/>
  <c r="DB22" i="12"/>
  <c r="DB23" i="12"/>
  <c r="DD4" i="12"/>
  <c r="DD5" i="12"/>
  <c r="DD6" i="12"/>
  <c r="DD7" i="12"/>
  <c r="DD8" i="12"/>
  <c r="DD9" i="12"/>
  <c r="DD10" i="12"/>
  <c r="DD11" i="12"/>
  <c r="DD12" i="12"/>
  <c r="DD13" i="12"/>
  <c r="DD14" i="12"/>
  <c r="DD15" i="12"/>
  <c r="DD16" i="12"/>
  <c r="DD17" i="12"/>
  <c r="DD18" i="12"/>
  <c r="DD19" i="12"/>
  <c r="DD20" i="12"/>
  <c r="DD21" i="12"/>
  <c r="DD22" i="12"/>
  <c r="DD23" i="12"/>
  <c r="CT5" i="12"/>
  <c r="CU5" i="12" s="1"/>
  <c r="CT6" i="12"/>
  <c r="CU6" i="12" s="1"/>
  <c r="CT7" i="12"/>
  <c r="CU7" i="12" s="1"/>
  <c r="CT8" i="12"/>
  <c r="CU8" i="12" s="1"/>
  <c r="CT9" i="12"/>
  <c r="CU9" i="12" s="1"/>
  <c r="CT10" i="12"/>
  <c r="CU10" i="12" s="1"/>
  <c r="CT11" i="12"/>
  <c r="CU11" i="12" s="1"/>
  <c r="CT12" i="12"/>
  <c r="CU12" i="12" s="1"/>
  <c r="CT13" i="12"/>
  <c r="CU13" i="12" s="1"/>
  <c r="CT14" i="12"/>
  <c r="CU14" i="12" s="1"/>
  <c r="CT15" i="12"/>
  <c r="CU15" i="12" s="1"/>
  <c r="CT16" i="12"/>
  <c r="CU16" i="12" s="1"/>
  <c r="CT17" i="12"/>
  <c r="CU17" i="12" s="1"/>
  <c r="CT18" i="12"/>
  <c r="CU18" i="12" s="1"/>
  <c r="CT19" i="12"/>
  <c r="CU19" i="12" s="1"/>
  <c r="CT20" i="12"/>
  <c r="CU20" i="12" s="1"/>
  <c r="CT21" i="12"/>
  <c r="CU21" i="12" s="1"/>
  <c r="CT22" i="12"/>
  <c r="CU22" i="12" s="1"/>
  <c r="CT23" i="12"/>
  <c r="CU23" i="12" s="1"/>
  <c r="CP5" i="12"/>
  <c r="CQ5" i="12" s="1"/>
  <c r="CP6" i="12"/>
  <c r="CQ6" i="12" s="1"/>
  <c r="CP7" i="12"/>
  <c r="CQ7" i="12" s="1"/>
  <c r="CP8" i="12"/>
  <c r="CP9" i="12"/>
  <c r="CQ9" i="12" s="1"/>
  <c r="CP10" i="12"/>
  <c r="CQ10" i="12" s="1"/>
  <c r="CP11" i="12"/>
  <c r="CQ11" i="12" s="1"/>
  <c r="CP12" i="12"/>
  <c r="CP13" i="12"/>
  <c r="CP14" i="12"/>
  <c r="CR14" i="12" s="1"/>
  <c r="CP15" i="12"/>
  <c r="CP16" i="12"/>
  <c r="CP17" i="12"/>
  <c r="CQ17" i="12" s="1"/>
  <c r="CP18" i="12"/>
  <c r="CQ18" i="12" s="1"/>
  <c r="CP19" i="12"/>
  <c r="CQ19" i="12" s="1"/>
  <c r="CP20" i="12"/>
  <c r="CP21" i="12"/>
  <c r="CQ21" i="12" s="1"/>
  <c r="CP22" i="12"/>
  <c r="CQ22" i="12" s="1"/>
  <c r="CP23" i="12"/>
  <c r="CQ23" i="12" s="1"/>
  <c r="CL5" i="12"/>
  <c r="CM5" i="12" s="1"/>
  <c r="CL6" i="12"/>
  <c r="CM6" i="12" s="1"/>
  <c r="CL7" i="12"/>
  <c r="CN7" i="12" s="1"/>
  <c r="CL8" i="12"/>
  <c r="CM8" i="12" s="1"/>
  <c r="CL9" i="12"/>
  <c r="CN9" i="12" s="1"/>
  <c r="CL10" i="12"/>
  <c r="CN10" i="12" s="1"/>
  <c r="CL11" i="12"/>
  <c r="CN11" i="12" s="1"/>
  <c r="CL12" i="12"/>
  <c r="CN12" i="12" s="1"/>
  <c r="CL13" i="12"/>
  <c r="CM13" i="12" s="1"/>
  <c r="CL14" i="12"/>
  <c r="CM14" i="12" s="1"/>
  <c r="CL15" i="12"/>
  <c r="CM15" i="12" s="1"/>
  <c r="CL16" i="12"/>
  <c r="CL17" i="12"/>
  <c r="CM17" i="12" s="1"/>
  <c r="CL18" i="12"/>
  <c r="CM18" i="12" s="1"/>
  <c r="CL19" i="12"/>
  <c r="CN19" i="12" s="1"/>
  <c r="CL20" i="12"/>
  <c r="CN20" i="12" s="1"/>
  <c r="CL21" i="12"/>
  <c r="CN21" i="12" s="1"/>
  <c r="CL22" i="12"/>
  <c r="CN22" i="12" s="1"/>
  <c r="CL23" i="12"/>
  <c r="CM23" i="12" s="1"/>
  <c r="CH5" i="12"/>
  <c r="CJ5" i="12" s="1"/>
  <c r="CH6" i="12"/>
  <c r="CJ6" i="12" s="1"/>
  <c r="CH7" i="12"/>
  <c r="CJ7" i="12" s="1"/>
  <c r="CH8" i="12"/>
  <c r="CJ8" i="12" s="1"/>
  <c r="CH9" i="12"/>
  <c r="CI9" i="12" s="1"/>
  <c r="CH10" i="12"/>
  <c r="CI10" i="12" s="1"/>
  <c r="CH11" i="12"/>
  <c r="CI11" i="12" s="1"/>
  <c r="CH12" i="12"/>
  <c r="CH13" i="12"/>
  <c r="CI13" i="12" s="1"/>
  <c r="CH14" i="12"/>
  <c r="CI14" i="12" s="1"/>
  <c r="CH15" i="12"/>
  <c r="CI15" i="12" s="1"/>
  <c r="CH16" i="12"/>
  <c r="CI16" i="12" s="1"/>
  <c r="CH17" i="12"/>
  <c r="CJ17" i="12" s="1"/>
  <c r="CH18" i="12"/>
  <c r="CJ18" i="12" s="1"/>
  <c r="CH19" i="12"/>
  <c r="CJ19" i="12" s="1"/>
  <c r="CH20" i="12"/>
  <c r="CJ20" i="12" s="1"/>
  <c r="CH21" i="12"/>
  <c r="CI21" i="12" s="1"/>
  <c r="CH22" i="12"/>
  <c r="CI22" i="12" s="1"/>
  <c r="CH23" i="12"/>
  <c r="CI23" i="12" s="1"/>
  <c r="CD5" i="12"/>
  <c r="CE5" i="12" s="1"/>
  <c r="CD6" i="12"/>
  <c r="CE6" i="12" s="1"/>
  <c r="CD7" i="12"/>
  <c r="CF7" i="12" s="1"/>
  <c r="CD8" i="12"/>
  <c r="CE8" i="12" s="1"/>
  <c r="CD9" i="12"/>
  <c r="CE9" i="12" s="1"/>
  <c r="CD10" i="12"/>
  <c r="CE10" i="12" s="1"/>
  <c r="CD11" i="12"/>
  <c r="CE11" i="12" s="1"/>
  <c r="CD12" i="12"/>
  <c r="CF12" i="12" s="1"/>
  <c r="CD13" i="12"/>
  <c r="CF13" i="12" s="1"/>
  <c r="CD14" i="12"/>
  <c r="CF14" i="12" s="1"/>
  <c r="CD15" i="12"/>
  <c r="CF15" i="12" s="1"/>
  <c r="CD16" i="12"/>
  <c r="CF16" i="12" s="1"/>
  <c r="CD17" i="12"/>
  <c r="CE17" i="12" s="1"/>
  <c r="CD18" i="12"/>
  <c r="CE18" i="12" s="1"/>
  <c r="CD19" i="12"/>
  <c r="CE19" i="12" s="1"/>
  <c r="CD20" i="12"/>
  <c r="CE20" i="12" s="1"/>
  <c r="CD21" i="12"/>
  <c r="CE21" i="12" s="1"/>
  <c r="CD22" i="12"/>
  <c r="CE22" i="12" s="1"/>
  <c r="CD23" i="12"/>
  <c r="CF23" i="12" s="1"/>
  <c r="BZ5" i="12"/>
  <c r="CA5" i="12" s="1"/>
  <c r="BZ6" i="12"/>
  <c r="CA6" i="12" s="1"/>
  <c r="BZ7" i="12"/>
  <c r="CA7" i="12" s="1"/>
  <c r="BZ8" i="12"/>
  <c r="CA8" i="12" s="1"/>
  <c r="BZ9" i="12"/>
  <c r="CB9" i="12" s="1"/>
  <c r="BZ10" i="12"/>
  <c r="CB10" i="12" s="1"/>
  <c r="BZ11" i="12"/>
  <c r="CA11" i="12" s="1"/>
  <c r="BZ12" i="12"/>
  <c r="CB12" i="12" s="1"/>
  <c r="BZ13" i="12"/>
  <c r="CA13" i="12" s="1"/>
  <c r="BZ14" i="12"/>
  <c r="CA14" i="12" s="1"/>
  <c r="BZ15" i="12"/>
  <c r="CA15" i="12" s="1"/>
  <c r="BZ16" i="12"/>
  <c r="CA16" i="12" s="1"/>
  <c r="BZ17" i="12"/>
  <c r="CA17" i="12" s="1"/>
  <c r="BZ18" i="12"/>
  <c r="CA18" i="12" s="1"/>
  <c r="BZ19" i="12"/>
  <c r="CA19" i="12" s="1"/>
  <c r="BZ20" i="12"/>
  <c r="CA20" i="12" s="1"/>
  <c r="BZ21" i="12"/>
  <c r="CB21" i="12" s="1"/>
  <c r="BZ22" i="12"/>
  <c r="CB22" i="12" s="1"/>
  <c r="BZ23" i="12"/>
  <c r="CA23" i="12" s="1"/>
  <c r="BV5" i="12"/>
  <c r="BX5" i="12" s="1"/>
  <c r="BV6" i="12"/>
  <c r="BX6" i="12" s="1"/>
  <c r="BV7" i="12"/>
  <c r="BX7" i="12" s="1"/>
  <c r="BV8" i="12"/>
  <c r="BX8" i="12" s="1"/>
  <c r="BV9" i="12"/>
  <c r="BW9" i="12" s="1"/>
  <c r="BV10" i="12"/>
  <c r="BW10" i="12" s="1"/>
  <c r="BV11" i="12"/>
  <c r="BW11" i="12" s="1"/>
  <c r="BV12" i="12"/>
  <c r="BW12" i="12" s="1"/>
  <c r="BV13" i="12"/>
  <c r="BW13" i="12" s="1"/>
  <c r="BV14" i="12"/>
  <c r="BW14" i="12" s="1"/>
  <c r="BV15" i="12"/>
  <c r="BW15" i="12" s="1"/>
  <c r="BV16" i="12"/>
  <c r="BW16" i="12" s="1"/>
  <c r="BV17" i="12"/>
  <c r="BX17" i="12" s="1"/>
  <c r="BV18" i="12"/>
  <c r="BX18" i="12" s="1"/>
  <c r="BV19" i="12"/>
  <c r="BW19" i="12" s="1"/>
  <c r="BV20" i="12"/>
  <c r="BX20" i="12" s="1"/>
  <c r="BV21" i="12"/>
  <c r="BW21" i="12" s="1"/>
  <c r="BV22" i="12"/>
  <c r="BW22" i="12" s="1"/>
  <c r="BV23" i="12"/>
  <c r="BX23" i="12" s="1"/>
  <c r="BR5" i="12"/>
  <c r="BS5" i="12" s="1"/>
  <c r="BR6" i="12"/>
  <c r="BS6" i="12" s="1"/>
  <c r="BR7" i="12"/>
  <c r="BT7" i="12" s="1"/>
  <c r="BR8" i="12"/>
  <c r="BS8" i="12" s="1"/>
  <c r="BR9" i="12"/>
  <c r="BS9" i="12" s="1"/>
  <c r="BR10" i="12"/>
  <c r="BS10" i="12" s="1"/>
  <c r="BR11" i="12"/>
  <c r="BS11" i="12" s="1"/>
  <c r="BR12" i="12"/>
  <c r="BT12" i="12" s="1"/>
  <c r="BR13" i="12"/>
  <c r="BT13" i="12" s="1"/>
  <c r="BR14" i="12"/>
  <c r="BT14" i="12" s="1"/>
  <c r="BR15" i="12"/>
  <c r="BT15" i="12" s="1"/>
  <c r="BR16" i="12"/>
  <c r="BT16" i="12" s="1"/>
  <c r="BR17" i="12"/>
  <c r="BS17" i="12" s="1"/>
  <c r="BR18" i="12"/>
  <c r="BS18" i="12" s="1"/>
  <c r="BR19" i="12"/>
  <c r="BS19" i="12" s="1"/>
  <c r="BR20" i="12"/>
  <c r="BS20" i="12" s="1"/>
  <c r="BR21" i="12"/>
  <c r="BS21" i="12" s="1"/>
  <c r="BR22" i="12"/>
  <c r="BS22" i="12" s="1"/>
  <c r="BR23" i="12"/>
  <c r="BS23" i="12" s="1"/>
  <c r="BN5" i="12"/>
  <c r="BO5" i="12" s="1"/>
  <c r="BN6" i="12"/>
  <c r="BO6" i="12" s="1"/>
  <c r="BN7" i="12"/>
  <c r="BP7" i="12" s="1"/>
  <c r="BN8" i="12"/>
  <c r="BP8" i="12" s="1"/>
  <c r="BN9" i="12"/>
  <c r="BP9" i="12" s="1"/>
  <c r="BN10" i="12"/>
  <c r="BP10" i="12" s="1"/>
  <c r="BN11" i="12"/>
  <c r="BP11" i="12" s="1"/>
  <c r="BN12" i="12"/>
  <c r="BP12" i="12" s="1"/>
  <c r="BN13" i="12"/>
  <c r="BO13" i="12" s="1"/>
  <c r="BN14" i="12"/>
  <c r="BO14" i="12" s="1"/>
  <c r="BN15" i="12"/>
  <c r="BP15" i="12" s="1"/>
  <c r="BN16" i="12"/>
  <c r="BN17" i="12"/>
  <c r="BO17" i="12" s="1"/>
  <c r="BN18" i="12"/>
  <c r="BO18" i="12" s="1"/>
  <c r="BN19" i="12"/>
  <c r="BP19" i="12" s="1"/>
  <c r="BN20" i="12"/>
  <c r="BO20" i="12" s="1"/>
  <c r="BN21" i="12"/>
  <c r="BO21" i="12" s="1"/>
  <c r="BN22" i="12"/>
  <c r="BP22" i="12" s="1"/>
  <c r="BN23" i="12"/>
  <c r="BP23" i="12" s="1"/>
  <c r="BJ5" i="12"/>
  <c r="BK5" i="12" s="1"/>
  <c r="BJ6" i="12"/>
  <c r="BL6" i="12" s="1"/>
  <c r="BJ7" i="12"/>
  <c r="BL7" i="12" s="1"/>
  <c r="BJ8" i="12"/>
  <c r="BL8" i="12" s="1"/>
  <c r="BJ9" i="12"/>
  <c r="BK9" i="12" s="1"/>
  <c r="BJ10" i="12"/>
  <c r="BK10" i="12" s="1"/>
  <c r="BJ11" i="12"/>
  <c r="BK11" i="12" s="1"/>
  <c r="BJ12" i="12"/>
  <c r="BJ13" i="12"/>
  <c r="BK13" i="12" s="1"/>
  <c r="BJ14" i="12"/>
  <c r="BK14" i="12" s="1"/>
  <c r="BJ15" i="12"/>
  <c r="BK15" i="12" s="1"/>
  <c r="BJ16" i="12"/>
  <c r="BK16" i="12" s="1"/>
  <c r="BJ17" i="12"/>
  <c r="BK17" i="12" s="1"/>
  <c r="BJ18" i="12"/>
  <c r="BL18" i="12" s="1"/>
  <c r="BJ19" i="12"/>
  <c r="BL19" i="12" s="1"/>
  <c r="BJ20" i="12"/>
  <c r="BL20" i="12" s="1"/>
  <c r="BJ21" i="12"/>
  <c r="BK21" i="12" s="1"/>
  <c r="BJ22" i="12"/>
  <c r="BK22" i="12" s="1"/>
  <c r="BJ23" i="12"/>
  <c r="BK23" i="12" s="1"/>
  <c r="BF5" i="12"/>
  <c r="BG5" i="12" s="1"/>
  <c r="BF6" i="12"/>
  <c r="BG6" i="12" s="1"/>
  <c r="BF7" i="12"/>
  <c r="BH7" i="12" s="1"/>
  <c r="BF8" i="12"/>
  <c r="BF9" i="12"/>
  <c r="BG9" i="12" s="1"/>
  <c r="BF10" i="12"/>
  <c r="BG10" i="12" s="1"/>
  <c r="BF11" i="12"/>
  <c r="BG11" i="12" s="1"/>
  <c r="BF12" i="12"/>
  <c r="BG12" i="12" s="1"/>
  <c r="BF13" i="12"/>
  <c r="BH13" i="12" s="1"/>
  <c r="BF14" i="12"/>
  <c r="BH14" i="12" s="1"/>
  <c r="BF15" i="12"/>
  <c r="BH15" i="12" s="1"/>
  <c r="BF16" i="12"/>
  <c r="BH16" i="12" s="1"/>
  <c r="BF17" i="12"/>
  <c r="BG17" i="12" s="1"/>
  <c r="BF18" i="12"/>
  <c r="BG18" i="12" s="1"/>
  <c r="BF19" i="12"/>
  <c r="BH19" i="12" s="1"/>
  <c r="BF20" i="12"/>
  <c r="BF21" i="12"/>
  <c r="BG21" i="12" s="1"/>
  <c r="BF22" i="12"/>
  <c r="BG22" i="12" s="1"/>
  <c r="BF23" i="12"/>
  <c r="BH23" i="12" s="1"/>
  <c r="BB5" i="12"/>
  <c r="BC5" i="12" s="1"/>
  <c r="BB6" i="12"/>
  <c r="BC6" i="12" s="1"/>
  <c r="BB7" i="12"/>
  <c r="BC7" i="12" s="1"/>
  <c r="BB8" i="12"/>
  <c r="BC8" i="12" s="1"/>
  <c r="BB9" i="12"/>
  <c r="BD9" i="12" s="1"/>
  <c r="BB10" i="12"/>
  <c r="BC10" i="12" s="1"/>
  <c r="BB11" i="12"/>
  <c r="BD11" i="12" s="1"/>
  <c r="BB12" i="12"/>
  <c r="BD12" i="12" s="1"/>
  <c r="BB13" i="12"/>
  <c r="BC13" i="12" s="1"/>
  <c r="BB14" i="12"/>
  <c r="BC14" i="12" s="1"/>
  <c r="BB15" i="12"/>
  <c r="BD15" i="12" s="1"/>
  <c r="BB16" i="12"/>
  <c r="BB17" i="12"/>
  <c r="BC17" i="12" s="1"/>
  <c r="BB18" i="12"/>
  <c r="BC18" i="12" s="1"/>
  <c r="BB19" i="12"/>
  <c r="BD19" i="12" s="1"/>
  <c r="BB20" i="12"/>
  <c r="BC20" i="12" s="1"/>
  <c r="BB21" i="12"/>
  <c r="BC21" i="12" s="1"/>
  <c r="BB22" i="12"/>
  <c r="BC22" i="12" s="1"/>
  <c r="BB23" i="12"/>
  <c r="BD23" i="12" s="1"/>
  <c r="AX5" i="12"/>
  <c r="AZ5" i="12" s="1"/>
  <c r="AX6" i="12"/>
  <c r="AY6" i="12" s="1"/>
  <c r="AX7" i="12"/>
  <c r="AZ7" i="12" s="1"/>
  <c r="AX8" i="12"/>
  <c r="AZ8" i="12" s="1"/>
  <c r="AX9" i="12"/>
  <c r="AY9" i="12" s="1"/>
  <c r="AX10" i="12"/>
  <c r="AY10" i="12" s="1"/>
  <c r="AX11" i="12"/>
  <c r="AZ11" i="12" s="1"/>
  <c r="AX12" i="12"/>
  <c r="AX13" i="12"/>
  <c r="AY13" i="12" s="1"/>
  <c r="AX14" i="12"/>
  <c r="AY14" i="12" s="1"/>
  <c r="AX15" i="12"/>
  <c r="AY15" i="12" s="1"/>
  <c r="AX16" i="12"/>
  <c r="AY16" i="12" s="1"/>
  <c r="AX17" i="12"/>
  <c r="AY17" i="12" s="1"/>
  <c r="AX18" i="12"/>
  <c r="AY18" i="12" s="1"/>
  <c r="AX19" i="12"/>
  <c r="AZ19" i="12" s="1"/>
  <c r="AX20" i="12"/>
  <c r="AZ20" i="12" s="1"/>
  <c r="AX21" i="12"/>
  <c r="AY21" i="12" s="1"/>
  <c r="AX22" i="12"/>
  <c r="AY22" i="12" s="1"/>
  <c r="AX23" i="12"/>
  <c r="AY23" i="12" s="1"/>
  <c r="AT5" i="12"/>
  <c r="AT6" i="12"/>
  <c r="AU6" i="12" s="1"/>
  <c r="AT7" i="12"/>
  <c r="AU7" i="12" s="1"/>
  <c r="AT8" i="12"/>
  <c r="AT9" i="12"/>
  <c r="AT10" i="12"/>
  <c r="AU10" i="12" s="1"/>
  <c r="AT11" i="12"/>
  <c r="AV11" i="12" s="1"/>
  <c r="AT12" i="12"/>
  <c r="AV12" i="12" s="1"/>
  <c r="AT13" i="12"/>
  <c r="AU13" i="12" s="1"/>
  <c r="AT14" i="12"/>
  <c r="AU14" i="12" s="1"/>
  <c r="AT15" i="12"/>
  <c r="AV15" i="12" s="1"/>
  <c r="AT16" i="12"/>
  <c r="AV16" i="12" s="1"/>
  <c r="AT17" i="12"/>
  <c r="AT18" i="12"/>
  <c r="AU18" i="12" s="1"/>
  <c r="AT19" i="12"/>
  <c r="AU19" i="12" s="1"/>
  <c r="AT20" i="12"/>
  <c r="AT21" i="12"/>
  <c r="AT22" i="12"/>
  <c r="AU22" i="12" s="1"/>
  <c r="AT23" i="12"/>
  <c r="AU23" i="12" s="1"/>
  <c r="AP5" i="12"/>
  <c r="AP6" i="12"/>
  <c r="AQ6" i="12" s="1"/>
  <c r="AP7" i="12"/>
  <c r="AQ7" i="12" s="1"/>
  <c r="AP8" i="12"/>
  <c r="AR8" i="12" s="1"/>
  <c r="AP9" i="12"/>
  <c r="AQ9" i="12" s="1"/>
  <c r="AP10" i="12"/>
  <c r="AQ10" i="12" s="1"/>
  <c r="AP11" i="12"/>
  <c r="AR11" i="12" s="1"/>
  <c r="AP12" i="12"/>
  <c r="AR12" i="12" s="1"/>
  <c r="AP13" i="12"/>
  <c r="AR13" i="12" s="1"/>
  <c r="AP14" i="12"/>
  <c r="AQ14" i="12" s="1"/>
  <c r="AP15" i="12"/>
  <c r="AQ15" i="12" s="1"/>
  <c r="AP16" i="12"/>
  <c r="AP17" i="12"/>
  <c r="AP18" i="12"/>
  <c r="AQ18" i="12" s="1"/>
  <c r="AP19" i="12"/>
  <c r="AQ19" i="12" s="1"/>
  <c r="AP20" i="12"/>
  <c r="AR20" i="12" s="1"/>
  <c r="AP21" i="12"/>
  <c r="AR21" i="12" s="1"/>
  <c r="AP22" i="12"/>
  <c r="AQ22" i="12" s="1"/>
  <c r="AP23" i="12"/>
  <c r="AR23" i="12" s="1"/>
  <c r="AL5" i="12"/>
  <c r="AN5" i="12" s="1"/>
  <c r="AL6" i="12"/>
  <c r="AM6" i="12" s="1"/>
  <c r="AL7" i="12"/>
  <c r="AN7" i="12" s="1"/>
  <c r="AL8" i="12"/>
  <c r="AN8" i="12" s="1"/>
  <c r="AL9" i="12"/>
  <c r="AN9" i="12" s="1"/>
  <c r="AL10" i="12"/>
  <c r="AN10" i="12" s="1"/>
  <c r="AL11" i="12"/>
  <c r="AM11" i="12" s="1"/>
  <c r="AL12" i="12"/>
  <c r="AM12" i="12" s="1"/>
  <c r="AL13" i="12"/>
  <c r="AL14" i="12"/>
  <c r="AM14" i="12" s="1"/>
  <c r="AL15" i="12"/>
  <c r="AN15" i="12" s="1"/>
  <c r="AL16" i="12"/>
  <c r="AN16" i="12" s="1"/>
  <c r="AL17" i="12"/>
  <c r="AN17" i="12" s="1"/>
  <c r="AL18" i="12"/>
  <c r="AM18" i="12" s="1"/>
  <c r="AL19" i="12"/>
  <c r="AN19" i="12" s="1"/>
  <c r="AL20" i="12"/>
  <c r="AN20" i="12" s="1"/>
  <c r="AL21" i="12"/>
  <c r="AN21" i="12" s="1"/>
  <c r="AL22" i="12"/>
  <c r="AM22" i="12" s="1"/>
  <c r="AL23" i="12"/>
  <c r="AN23" i="12" s="1"/>
  <c r="AH5" i="12"/>
  <c r="AJ5" i="12" s="1"/>
  <c r="AH6" i="12"/>
  <c r="AJ6" i="12" s="1"/>
  <c r="AH7" i="12"/>
  <c r="AI7" i="12" s="1"/>
  <c r="AH8" i="12"/>
  <c r="AI8" i="12" s="1"/>
  <c r="AH9" i="12"/>
  <c r="AJ9" i="12" s="1"/>
  <c r="AH10" i="12"/>
  <c r="AI10" i="12" s="1"/>
  <c r="AH11" i="12"/>
  <c r="AJ11" i="12" s="1"/>
  <c r="AH12" i="12"/>
  <c r="AJ12" i="12" s="1"/>
  <c r="AH13" i="12"/>
  <c r="AI13" i="12" s="1"/>
  <c r="AH14" i="12"/>
  <c r="AI14" i="12" s="1"/>
  <c r="AH15" i="12"/>
  <c r="AJ15" i="12" s="1"/>
  <c r="AH16" i="12"/>
  <c r="AJ16" i="12" s="1"/>
  <c r="AH17" i="12"/>
  <c r="AJ17" i="12" s="1"/>
  <c r="AH18" i="12"/>
  <c r="AI18" i="12" s="1"/>
  <c r="AH19" i="12"/>
  <c r="AI19" i="12" s="1"/>
  <c r="AH20" i="12"/>
  <c r="AI20" i="12" s="1"/>
  <c r="AH21" i="12"/>
  <c r="AJ21" i="12" s="1"/>
  <c r="AH22" i="12"/>
  <c r="AI22" i="12" s="1"/>
  <c r="AH23" i="12"/>
  <c r="AJ23" i="12" s="1"/>
  <c r="AD5" i="12"/>
  <c r="AF5" i="12" s="1"/>
  <c r="AD6" i="12"/>
  <c r="AF6" i="12" s="1"/>
  <c r="AD7" i="12"/>
  <c r="AF7" i="12" s="1"/>
  <c r="AD8" i="12"/>
  <c r="AE8" i="12" s="1"/>
  <c r="AD9" i="12"/>
  <c r="AF9" i="12" s="1"/>
  <c r="AD10" i="12"/>
  <c r="AE10" i="12" s="1"/>
  <c r="AD11" i="12"/>
  <c r="AF11" i="12" s="1"/>
  <c r="AD12" i="12"/>
  <c r="AF12" i="12" s="1"/>
  <c r="AD13" i="12"/>
  <c r="AF13" i="12" s="1"/>
  <c r="AD14" i="12"/>
  <c r="AE14" i="12" s="1"/>
  <c r="AD15" i="12"/>
  <c r="AF15" i="12" s="1"/>
  <c r="AD16" i="12"/>
  <c r="AE16" i="12" s="1"/>
  <c r="AD17" i="12"/>
  <c r="AF17" i="12" s="1"/>
  <c r="AD18" i="12"/>
  <c r="AE18" i="12" s="1"/>
  <c r="AD19" i="12"/>
  <c r="AF19" i="12" s="1"/>
  <c r="AD20" i="12"/>
  <c r="AE20" i="12" s="1"/>
  <c r="AD21" i="12"/>
  <c r="AF21" i="12" s="1"/>
  <c r="AD22" i="12"/>
  <c r="AE22" i="12" s="1"/>
  <c r="AD23" i="12"/>
  <c r="AF23" i="12" s="1"/>
  <c r="Z5" i="12"/>
  <c r="AA5" i="12" s="1"/>
  <c r="Z6" i="12"/>
  <c r="AB6" i="12" s="1"/>
  <c r="Z7" i="12"/>
  <c r="AA7" i="12" s="1"/>
  <c r="Z8" i="12"/>
  <c r="AB8" i="12" s="1"/>
  <c r="Z9" i="12"/>
  <c r="AB9" i="12" s="1"/>
  <c r="Z10" i="12"/>
  <c r="AB10" i="12" s="1"/>
  <c r="Z11" i="12"/>
  <c r="AA11" i="12" s="1"/>
  <c r="Z12" i="12"/>
  <c r="AB12" i="12" s="1"/>
  <c r="Z13" i="12"/>
  <c r="AB13" i="12" s="1"/>
  <c r="Z14" i="12"/>
  <c r="AA14" i="12" s="1"/>
  <c r="Z15" i="12"/>
  <c r="AA15" i="12" s="1"/>
  <c r="Z16" i="12"/>
  <c r="AA16" i="12" s="1"/>
  <c r="Z17" i="12"/>
  <c r="AA17" i="12" s="1"/>
  <c r="Z18" i="12"/>
  <c r="AA18" i="12" s="1"/>
  <c r="Z19" i="12"/>
  <c r="AA19" i="12" s="1"/>
  <c r="Z20" i="12"/>
  <c r="AA20" i="12" s="1"/>
  <c r="Z21" i="12"/>
  <c r="AA21" i="12" s="1"/>
  <c r="Z22" i="12"/>
  <c r="AB22" i="12" s="1"/>
  <c r="Z23" i="12"/>
  <c r="AA23" i="12" s="1"/>
  <c r="V5" i="12"/>
  <c r="W5" i="12" s="1"/>
  <c r="V6" i="12"/>
  <c r="X6" i="12" s="1"/>
  <c r="V7" i="12"/>
  <c r="X7" i="12" s="1"/>
  <c r="V8" i="12"/>
  <c r="W8" i="12" s="1"/>
  <c r="V9" i="12"/>
  <c r="X9" i="12" s="1"/>
  <c r="V10" i="12"/>
  <c r="W10" i="12" s="1"/>
  <c r="V11" i="12"/>
  <c r="W11" i="12" s="1"/>
  <c r="V12" i="12"/>
  <c r="W12" i="12" s="1"/>
  <c r="V13" i="12"/>
  <c r="W13" i="12" s="1"/>
  <c r="V14" i="12"/>
  <c r="W14" i="12" s="1"/>
  <c r="V15" i="12"/>
  <c r="W15" i="12" s="1"/>
  <c r="V16" i="12"/>
  <c r="X16" i="12" s="1"/>
  <c r="V17" i="12"/>
  <c r="W17" i="12" s="1"/>
  <c r="V18" i="12"/>
  <c r="X18" i="12" s="1"/>
  <c r="V19" i="12"/>
  <c r="W19" i="12" s="1"/>
  <c r="V20" i="12"/>
  <c r="X20" i="12" s="1"/>
  <c r="V21" i="12"/>
  <c r="X21" i="12" s="1"/>
  <c r="V22" i="12"/>
  <c r="W22" i="12" s="1"/>
  <c r="V23" i="12"/>
  <c r="W23" i="12" s="1"/>
  <c r="R5" i="12"/>
  <c r="T5" i="12" s="1"/>
  <c r="R6" i="12"/>
  <c r="T6" i="12" s="1"/>
  <c r="R7" i="12"/>
  <c r="S7" i="12" s="1"/>
  <c r="R8" i="12"/>
  <c r="S8" i="12" s="1"/>
  <c r="R9" i="12"/>
  <c r="S9" i="12" s="1"/>
  <c r="R10" i="12"/>
  <c r="S10" i="12" s="1"/>
  <c r="R11" i="12"/>
  <c r="S11" i="12" s="1"/>
  <c r="R12" i="12"/>
  <c r="S12" i="12" s="1"/>
  <c r="R13" i="12"/>
  <c r="S13" i="12" s="1"/>
  <c r="R14" i="12"/>
  <c r="T14" i="12" s="1"/>
  <c r="R15" i="12"/>
  <c r="T15" i="12" s="1"/>
  <c r="R16" i="12"/>
  <c r="S16" i="12" s="1"/>
  <c r="R17" i="12"/>
  <c r="T17" i="12" s="1"/>
  <c r="R18" i="12"/>
  <c r="S18" i="12" s="1"/>
  <c r="R19" i="12"/>
  <c r="S19" i="12" s="1"/>
  <c r="R20" i="12"/>
  <c r="S20" i="12" s="1"/>
  <c r="R21" i="12"/>
  <c r="S21" i="12" s="1"/>
  <c r="R22" i="12"/>
  <c r="S22" i="12" s="1"/>
  <c r="R23" i="12"/>
  <c r="S23" i="12" s="1"/>
  <c r="N5" i="12"/>
  <c r="O5" i="12" s="1"/>
  <c r="N6" i="12"/>
  <c r="O6" i="12" s="1"/>
  <c r="N7" i="12"/>
  <c r="O7" i="12" s="1"/>
  <c r="N8" i="12"/>
  <c r="P8" i="12" s="1"/>
  <c r="N9" i="12"/>
  <c r="O9" i="12" s="1"/>
  <c r="N10" i="12"/>
  <c r="P10" i="12" s="1"/>
  <c r="N11" i="12"/>
  <c r="O11" i="12" s="1"/>
  <c r="N12" i="12"/>
  <c r="O12" i="12" s="1"/>
  <c r="N13" i="12"/>
  <c r="P13" i="12" s="1"/>
  <c r="N14" i="12"/>
  <c r="O14" i="12" s="1"/>
  <c r="N15" i="12"/>
  <c r="O15" i="12" s="1"/>
  <c r="N16" i="12"/>
  <c r="O16" i="12" s="1"/>
  <c r="N17" i="12"/>
  <c r="O17" i="12" s="1"/>
  <c r="N18" i="12"/>
  <c r="O18" i="12" s="1"/>
  <c r="N19" i="12"/>
  <c r="O19" i="12" s="1"/>
  <c r="N20" i="12"/>
  <c r="P20" i="12" s="1"/>
  <c r="N21" i="12"/>
  <c r="O21" i="12" s="1"/>
  <c r="N22" i="12"/>
  <c r="P22" i="12" s="1"/>
  <c r="N23" i="12"/>
  <c r="P23" i="12" s="1"/>
  <c r="J5" i="12"/>
  <c r="K5" i="12" s="1"/>
  <c r="J6" i="12"/>
  <c r="K6" i="12" s="1"/>
  <c r="J7" i="12"/>
  <c r="K7" i="12" s="1"/>
  <c r="J8" i="12"/>
  <c r="K8" i="12" s="1"/>
  <c r="J9" i="12"/>
  <c r="K9" i="12" s="1"/>
  <c r="J10" i="12"/>
  <c r="L10" i="12" s="1"/>
  <c r="J11" i="12"/>
  <c r="L11" i="12" s="1"/>
  <c r="J12" i="12"/>
  <c r="L12" i="12" s="1"/>
  <c r="J13" i="12"/>
  <c r="L13" i="12" s="1"/>
  <c r="J14" i="12"/>
  <c r="L14" i="12" s="1"/>
  <c r="J15" i="12"/>
  <c r="K15" i="12" s="1"/>
  <c r="J16" i="12"/>
  <c r="L16" i="12" s="1"/>
  <c r="J17" i="12"/>
  <c r="K17" i="12" s="1"/>
  <c r="J18" i="12"/>
  <c r="K18" i="12" s="1"/>
  <c r="J19" i="12"/>
  <c r="K19" i="12" s="1"/>
  <c r="J20" i="12"/>
  <c r="K20" i="12" s="1"/>
  <c r="J21" i="12"/>
  <c r="K21" i="12" s="1"/>
  <c r="J22" i="12"/>
  <c r="L22" i="12" s="1"/>
  <c r="J23" i="12"/>
  <c r="L23" i="12" s="1"/>
  <c r="F5" i="12"/>
  <c r="H5" i="12" s="1"/>
  <c r="F6" i="12"/>
  <c r="H6" i="12" s="1"/>
  <c r="F7" i="12"/>
  <c r="H7" i="12" s="1"/>
  <c r="F8" i="12"/>
  <c r="H8" i="12" s="1"/>
  <c r="F9" i="12"/>
  <c r="H9" i="12" s="1"/>
  <c r="F10" i="12"/>
  <c r="G10" i="12" s="1"/>
  <c r="F11" i="12"/>
  <c r="G11" i="12" s="1"/>
  <c r="F12" i="12"/>
  <c r="G12" i="12" s="1"/>
  <c r="F13" i="12"/>
  <c r="G13" i="12" s="1"/>
  <c r="F14" i="12"/>
  <c r="G14" i="12" s="1"/>
  <c r="F15" i="12"/>
  <c r="H15" i="12" s="1"/>
  <c r="F16" i="12"/>
  <c r="H16" i="12" s="1"/>
  <c r="F17" i="12"/>
  <c r="H17" i="12" s="1"/>
  <c r="F18" i="12"/>
  <c r="H18" i="12" s="1"/>
  <c r="F19" i="12"/>
  <c r="H19" i="12" s="1"/>
  <c r="F20" i="12"/>
  <c r="H20" i="12" s="1"/>
  <c r="F21" i="12"/>
  <c r="H21" i="12" s="1"/>
  <c r="F22" i="12"/>
  <c r="G22" i="12" s="1"/>
  <c r="F23" i="12"/>
  <c r="G23" i="12" s="1"/>
  <c r="DE4" i="12"/>
  <c r="DE5" i="12"/>
  <c r="DE6" i="12"/>
  <c r="DE7" i="12"/>
  <c r="DE8" i="12"/>
  <c r="DE9" i="12"/>
  <c r="DE10" i="12"/>
  <c r="DE11" i="12"/>
  <c r="DE12" i="12"/>
  <c r="DE13" i="12"/>
  <c r="DE14" i="12"/>
  <c r="DE15" i="12"/>
  <c r="DE16" i="12"/>
  <c r="DE17" i="12"/>
  <c r="DE18" i="12"/>
  <c r="DE19" i="12"/>
  <c r="DE20" i="12"/>
  <c r="DE21" i="12"/>
  <c r="DE22" i="12"/>
  <c r="DE23" i="12"/>
  <c r="DF4" i="12"/>
  <c r="DF5" i="12"/>
  <c r="DF6" i="12"/>
  <c r="DF7" i="12"/>
  <c r="DF8" i="12"/>
  <c r="DF9" i="12"/>
  <c r="DF10" i="12"/>
  <c r="DF11" i="12"/>
  <c r="DF12" i="12"/>
  <c r="DF13" i="12"/>
  <c r="DF14" i="12"/>
  <c r="DF15" i="12"/>
  <c r="DF16" i="12"/>
  <c r="DF17" i="12"/>
  <c r="DF18" i="12"/>
  <c r="DF19" i="12"/>
  <c r="DF20" i="12"/>
  <c r="DF21" i="12"/>
  <c r="DF22" i="12"/>
  <c r="DF23" i="12"/>
  <c r="DG4" i="12"/>
  <c r="DG5" i="12"/>
  <c r="DG6" i="12"/>
  <c r="DG7" i="12"/>
  <c r="DG8" i="12"/>
  <c r="DG9" i="12"/>
  <c r="DG10" i="12"/>
  <c r="DG11" i="12"/>
  <c r="DG12" i="12"/>
  <c r="DG13" i="12"/>
  <c r="DG14" i="12"/>
  <c r="DG15" i="12"/>
  <c r="DG16" i="12"/>
  <c r="DG17" i="12"/>
  <c r="DG18" i="12"/>
  <c r="DG19" i="12"/>
  <c r="DG20" i="12"/>
  <c r="DG21" i="12"/>
  <c r="DG22" i="12"/>
  <c r="DG23" i="12"/>
  <c r="DI4" i="12"/>
  <c r="DH4" i="12"/>
  <c r="DH5" i="12"/>
  <c r="DH6" i="12"/>
  <c r="DH7" i="12"/>
  <c r="DH8" i="12"/>
  <c r="DH9" i="12"/>
  <c r="DH10" i="12"/>
  <c r="DH11" i="12"/>
  <c r="DH12" i="12"/>
  <c r="DH13" i="12"/>
  <c r="DH14" i="12"/>
  <c r="DH15" i="12"/>
  <c r="DH16" i="12"/>
  <c r="DH17" i="12"/>
  <c r="DH18" i="12"/>
  <c r="DH19" i="12"/>
  <c r="DH20" i="12"/>
  <c r="DH21" i="12"/>
  <c r="DH22" i="12"/>
  <c r="DH23" i="12"/>
  <c r="DI5" i="12"/>
  <c r="DI6" i="12"/>
  <c r="DI7" i="12"/>
  <c r="DI8" i="12"/>
  <c r="DI9" i="12"/>
  <c r="DI10" i="12"/>
  <c r="DI11" i="12"/>
  <c r="DI12" i="12"/>
  <c r="DI13" i="12"/>
  <c r="DI14" i="12"/>
  <c r="DI15" i="12"/>
  <c r="DI16" i="12"/>
  <c r="DI17" i="12"/>
  <c r="DI18" i="12"/>
  <c r="DI19" i="12"/>
  <c r="DI20" i="12"/>
  <c r="DI21" i="12"/>
  <c r="DI22" i="12"/>
  <c r="DI23" i="12"/>
  <c r="DJ4" i="12"/>
  <c r="DJ5" i="12"/>
  <c r="DJ6" i="12"/>
  <c r="DJ7" i="12"/>
  <c r="DJ8" i="12"/>
  <c r="DJ9" i="12"/>
  <c r="DJ10" i="12"/>
  <c r="DJ11" i="12"/>
  <c r="DJ12" i="12"/>
  <c r="DJ13" i="12"/>
  <c r="DJ14" i="12"/>
  <c r="DJ15" i="12"/>
  <c r="DJ16" i="12"/>
  <c r="DJ17" i="12"/>
  <c r="DJ18" i="12"/>
  <c r="DJ19" i="12"/>
  <c r="DJ20" i="12"/>
  <c r="DJ21" i="12"/>
  <c r="DJ22" i="12"/>
  <c r="DJ23" i="12"/>
  <c r="DL5" i="12" a="1"/>
  <c r="DL5" i="12" s="1"/>
  <c r="DL6" i="12" a="1"/>
  <c r="DL6" i="12" s="1"/>
  <c r="DL7" i="12" a="1"/>
  <c r="DL7" i="12" s="1"/>
  <c r="DL8" i="12" a="1"/>
  <c r="DL8" i="12" s="1"/>
  <c r="DL9" i="12" a="1"/>
  <c r="DL9" i="12" s="1"/>
  <c r="DL10" i="12" a="1"/>
  <c r="DL10" i="12" s="1"/>
  <c r="DL11" i="12" a="1"/>
  <c r="DL11" i="12" s="1"/>
  <c r="DL12" i="12" a="1"/>
  <c r="DL12" i="12" s="1"/>
  <c r="DL13" i="12" a="1"/>
  <c r="DL13" i="12" s="1"/>
  <c r="DL14" i="12" a="1"/>
  <c r="DL14" i="12" s="1"/>
  <c r="DL15" i="12" a="1"/>
  <c r="DL15" i="12" s="1"/>
  <c r="DL16" i="12" a="1"/>
  <c r="DL16" i="12" s="1"/>
  <c r="DL17" i="12" a="1"/>
  <c r="DL17" i="12" s="1"/>
  <c r="DL18" i="12" a="1"/>
  <c r="DL18" i="12" s="1"/>
  <c r="DL19" i="12" a="1"/>
  <c r="DL19" i="12" s="1"/>
  <c r="DL20" i="12" a="1"/>
  <c r="DL20" i="12" s="1"/>
  <c r="DL21" i="12" a="1"/>
  <c r="DL21" i="12" s="1"/>
  <c r="DL22" i="12" a="1"/>
  <c r="DL22" i="12" s="1"/>
  <c r="DL23" i="12" a="1"/>
  <c r="DL23" i="12" s="1"/>
  <c r="DL4" i="12" a="1"/>
  <c r="DL4" i="12" s="1"/>
  <c r="F4" i="12"/>
  <c r="H4" i="12" s="1"/>
  <c r="CT4" i="12"/>
  <c r="CU4" i="12" s="1"/>
  <c r="CP4" i="12"/>
  <c r="CQ4" i="12" s="1"/>
  <c r="CL4" i="12"/>
  <c r="CH4" i="12"/>
  <c r="CI4" i="12" s="1"/>
  <c r="CD4" i="12"/>
  <c r="CE4" i="12" s="1"/>
  <c r="BZ4" i="12"/>
  <c r="CA4" i="12" s="1"/>
  <c r="BV4" i="12"/>
  <c r="BW4" i="12" s="1"/>
  <c r="BR4" i="12"/>
  <c r="BS4" i="12" s="1"/>
  <c r="BN4" i="12"/>
  <c r="BJ4" i="12"/>
  <c r="BK4" i="12" s="1"/>
  <c r="BF4" i="12"/>
  <c r="BG4" i="12" s="1"/>
  <c r="BB4" i="12"/>
  <c r="BD4" i="12" s="1"/>
  <c r="AT4" i="12"/>
  <c r="AU4" i="12" s="1"/>
  <c r="AP4" i="12"/>
  <c r="AL4" i="12"/>
  <c r="AM4" i="12" s="1"/>
  <c r="AH4" i="12"/>
  <c r="AI4" i="12" s="1"/>
  <c r="AD4" i="12"/>
  <c r="Z4" i="12"/>
  <c r="AA4" i="12" s="1"/>
  <c r="V4" i="12"/>
  <c r="W4" i="12" s="1"/>
  <c r="R4" i="12"/>
  <c r="N4" i="12"/>
  <c r="O4" i="12" s="1"/>
  <c r="J4" i="12"/>
  <c r="K4" i="12" s="1"/>
  <c r="D11" i="13" l="1"/>
  <c r="D15" i="13"/>
  <c r="D14" i="13"/>
  <c r="D13" i="13"/>
  <c r="D12" i="13"/>
  <c r="D19" i="13"/>
  <c r="D7" i="13"/>
  <c r="D23" i="13" s="1"/>
  <c r="CV16" i="12"/>
  <c r="AB21" i="12"/>
  <c r="AB17" i="12"/>
  <c r="AB15" i="12"/>
  <c r="CV22" i="12"/>
  <c r="AB14" i="12"/>
  <c r="CV21" i="12"/>
  <c r="BW5" i="12"/>
  <c r="BY5" i="12" s="1"/>
  <c r="CV10" i="12"/>
  <c r="CW10" i="12" s="1"/>
  <c r="AB5" i="12"/>
  <c r="CV9" i="12"/>
  <c r="CW9" i="12" s="1"/>
  <c r="X19" i="12"/>
  <c r="Y19" i="12" s="1"/>
  <c r="CV12" i="12"/>
  <c r="CV23" i="12"/>
  <c r="CV11" i="12"/>
  <c r="X8" i="12"/>
  <c r="AB16" i="12"/>
  <c r="AB4" i="12"/>
  <c r="CV20" i="12"/>
  <c r="CW20" i="12" s="1"/>
  <c r="CV8" i="12"/>
  <c r="X17" i="12"/>
  <c r="X5" i="12"/>
  <c r="CV19" i="12"/>
  <c r="CW19" i="12" s="1"/>
  <c r="CV7" i="12"/>
  <c r="CW7" i="12" s="1"/>
  <c r="X4" i="12"/>
  <c r="CV18" i="12"/>
  <c r="CV6" i="12"/>
  <c r="X15" i="12"/>
  <c r="Y15" i="12" s="1"/>
  <c r="AB23" i="12"/>
  <c r="AB11" i="12"/>
  <c r="CV17" i="12"/>
  <c r="CW17" i="12" s="1"/>
  <c r="CV5" i="12"/>
  <c r="X14" i="12"/>
  <c r="Y14" i="12" s="1"/>
  <c r="CV4" i="12"/>
  <c r="CW4" i="12" s="1"/>
  <c r="X13" i="12"/>
  <c r="Y13" i="12" s="1"/>
  <c r="CV15" i="12"/>
  <c r="CW15" i="12" s="1"/>
  <c r="X12" i="12"/>
  <c r="AB20" i="12"/>
  <c r="CV14" i="12"/>
  <c r="CW14" i="12" s="1"/>
  <c r="X23" i="12"/>
  <c r="X11" i="12"/>
  <c r="Y11" i="12" s="1"/>
  <c r="AB19" i="12"/>
  <c r="AC19" i="12" s="1"/>
  <c r="AB7" i="12"/>
  <c r="AC7" i="12" s="1"/>
  <c r="CV13" i="12"/>
  <c r="X22" i="12"/>
  <c r="Y22" i="12" s="1"/>
  <c r="X10" i="12"/>
  <c r="AB18" i="12"/>
  <c r="AC18" i="12" s="1"/>
  <c r="BW6" i="12"/>
  <c r="BY6" i="12" s="1"/>
  <c r="CA12" i="12"/>
  <c r="CC12" i="12" s="1"/>
  <c r="BW18" i="12"/>
  <c r="BY18" i="12" s="1"/>
  <c r="BW17" i="12"/>
  <c r="BY17" i="12" s="1"/>
  <c r="CE7" i="12"/>
  <c r="CG7" i="12" s="1"/>
  <c r="BS12" i="12"/>
  <c r="BU12" i="12" s="1"/>
  <c r="BW7" i="12"/>
  <c r="BY7" i="12" s="1"/>
  <c r="BS7" i="12"/>
  <c r="BU7" i="12" s="1"/>
  <c r="CA22" i="12"/>
  <c r="CC22" i="12" s="1"/>
  <c r="CA10" i="12"/>
  <c r="CC10" i="12" s="1"/>
  <c r="CE16" i="12"/>
  <c r="CG16" i="12" s="1"/>
  <c r="CA21" i="12"/>
  <c r="CC21" i="12" s="1"/>
  <c r="CA9" i="12"/>
  <c r="CC9" i="12" s="1"/>
  <c r="CE15" i="12"/>
  <c r="CG15" i="12" s="1"/>
  <c r="CE14" i="12"/>
  <c r="CG14" i="12" s="1"/>
  <c r="BS16" i="12"/>
  <c r="BU16" i="12" s="1"/>
  <c r="BW23" i="12"/>
  <c r="BY23" i="12" s="1"/>
  <c r="CE13" i="12"/>
  <c r="CG13" i="12" s="1"/>
  <c r="BS15" i="12"/>
  <c r="BU15" i="12" s="1"/>
  <c r="CE12" i="12"/>
  <c r="CG12" i="12" s="1"/>
  <c r="BS14" i="12"/>
  <c r="BU14" i="12" s="1"/>
  <c r="CE23" i="12"/>
  <c r="CG23" i="12" s="1"/>
  <c r="BS13" i="12"/>
  <c r="BU13" i="12" s="1"/>
  <c r="BW20" i="12"/>
  <c r="BY20" i="12" s="1"/>
  <c r="BW8" i="12"/>
  <c r="BY8" i="12" s="1"/>
  <c r="BC23" i="12"/>
  <c r="BE23" i="12" s="1"/>
  <c r="AR7" i="12"/>
  <c r="AS7" i="12" s="1"/>
  <c r="BG7" i="12"/>
  <c r="BI7" i="12" s="1"/>
  <c r="BP6" i="12"/>
  <c r="BQ6" i="12" s="1"/>
  <c r="AM9" i="12"/>
  <c r="AO9" i="12" s="1"/>
  <c r="P7" i="12"/>
  <c r="Q7" i="12" s="1"/>
  <c r="BH10" i="12"/>
  <c r="BI10" i="12" s="1"/>
  <c r="AI17" i="12"/>
  <c r="AK17" i="12" s="1"/>
  <c r="BT23" i="12"/>
  <c r="BU23" i="12" s="1"/>
  <c r="AF14" i="12"/>
  <c r="AG14" i="12" s="1"/>
  <c r="P19" i="12"/>
  <c r="Q19" i="12" s="1"/>
  <c r="BC15" i="12"/>
  <c r="BE15" i="12" s="1"/>
  <c r="BT10" i="12"/>
  <c r="BU10" i="12" s="1"/>
  <c r="CR19" i="12"/>
  <c r="CS19" i="12" s="1"/>
  <c r="AY11" i="12"/>
  <c r="BA11" i="12" s="1"/>
  <c r="AY5" i="12"/>
  <c r="BA5" i="12" s="1"/>
  <c r="W20" i="12"/>
  <c r="Y20" i="12" s="1"/>
  <c r="CM12" i="12"/>
  <c r="CO12" i="12" s="1"/>
  <c r="BL22" i="12"/>
  <c r="CB19" i="12"/>
  <c r="CC19" i="12" s="1"/>
  <c r="P15" i="12"/>
  <c r="Q15" i="12" s="1"/>
  <c r="AM17" i="12"/>
  <c r="AO17" i="12" s="1"/>
  <c r="CB23" i="12"/>
  <c r="CC23" i="12" s="1"/>
  <c r="AI15" i="12"/>
  <c r="AK15" i="12" s="1"/>
  <c r="AM5" i="12"/>
  <c r="AO5" i="12" s="1"/>
  <c r="BT19" i="12"/>
  <c r="BU19" i="12" s="1"/>
  <c r="AJ20" i="12"/>
  <c r="AK20" i="12" s="1"/>
  <c r="BG23" i="12"/>
  <c r="BK7" i="12"/>
  <c r="BM7" i="12" s="1"/>
  <c r="BX10" i="12"/>
  <c r="BY10" i="12" s="1"/>
  <c r="AF16" i="12"/>
  <c r="AG16" i="12" s="1"/>
  <c r="AJ13" i="12"/>
  <c r="AK13" i="12" s="1"/>
  <c r="BG13" i="12"/>
  <c r="BI13" i="12" s="1"/>
  <c r="BC19" i="12"/>
  <c r="BE19" i="12" s="1"/>
  <c r="BL14" i="12"/>
  <c r="BM14" i="12" s="1"/>
  <c r="W16" i="12"/>
  <c r="Y16" i="12" s="1"/>
  <c r="AZ17" i="12"/>
  <c r="BA17" i="12" s="1"/>
  <c r="BD7" i="12"/>
  <c r="BE7" i="12" s="1"/>
  <c r="CI19" i="12"/>
  <c r="CK19" i="12" s="1"/>
  <c r="CM19" i="12"/>
  <c r="CO19" i="12" s="1"/>
  <c r="CI7" i="12"/>
  <c r="CK7" i="12" s="1"/>
  <c r="S17" i="12"/>
  <c r="U17" i="12" s="1"/>
  <c r="AV6" i="12"/>
  <c r="AW6" i="12" s="1"/>
  <c r="CJ23" i="12"/>
  <c r="CK23" i="12" s="1"/>
  <c r="CM7" i="12"/>
  <c r="CO7" i="12" s="1"/>
  <c r="O8" i="12"/>
  <c r="Q8" i="12" s="1"/>
  <c r="T19" i="12"/>
  <c r="U19" i="12" s="1"/>
  <c r="AQ23" i="12"/>
  <c r="AS23" i="12" s="1"/>
  <c r="CF22" i="12"/>
  <c r="CG22" i="12" s="1"/>
  <c r="CJ14" i="12"/>
  <c r="CK14" i="12" s="1"/>
  <c r="AQ21" i="12"/>
  <c r="AS21" i="12" s="1"/>
  <c r="CF6" i="12"/>
  <c r="CG6" i="12" s="1"/>
  <c r="W7" i="12"/>
  <c r="Y7" i="12" s="1"/>
  <c r="AE21" i="12"/>
  <c r="AG21" i="12" s="1"/>
  <c r="AR10" i="12"/>
  <c r="AS10" i="12" s="1"/>
  <c r="AV7" i="12"/>
  <c r="AW7" i="12" s="1"/>
  <c r="AY7" i="12"/>
  <c r="BA7" i="12" s="1"/>
  <c r="BH12" i="12"/>
  <c r="BI12" i="12" s="1"/>
  <c r="BK8" i="12"/>
  <c r="BM8" i="12" s="1"/>
  <c r="CJ16" i="12"/>
  <c r="CK16" i="12" s="1"/>
  <c r="AC20" i="12"/>
  <c r="AZ23" i="12"/>
  <c r="BA23" i="12" s="1"/>
  <c r="BH6" i="12"/>
  <c r="BI6" i="12" s="1"/>
  <c r="BL23" i="12"/>
  <c r="BM23" i="12" s="1"/>
  <c r="BO23" i="12"/>
  <c r="BQ23" i="12" s="1"/>
  <c r="BX19" i="12"/>
  <c r="BY19" i="12" s="1"/>
  <c r="CB20" i="12"/>
  <c r="CC20" i="12" s="1"/>
  <c r="CJ11" i="12"/>
  <c r="CK11" i="12" s="1"/>
  <c r="CM11" i="12"/>
  <c r="CO11" i="12" s="1"/>
  <c r="AE15" i="12"/>
  <c r="AG15" i="12" s="1"/>
  <c r="BO19" i="12"/>
  <c r="BQ19" i="12" s="1"/>
  <c r="P14" i="12"/>
  <c r="Q14" i="12" s="1"/>
  <c r="S15" i="12"/>
  <c r="U15" i="12" s="1"/>
  <c r="Y5" i="12"/>
  <c r="AI16" i="12"/>
  <c r="AK16" i="12" s="1"/>
  <c r="AZ16" i="12"/>
  <c r="BA16" i="12" s="1"/>
  <c r="BD22" i="12"/>
  <c r="BE22" i="12" s="1"/>
  <c r="BL15" i="12"/>
  <c r="BM15" i="12" s="1"/>
  <c r="BO15" i="12"/>
  <c r="BQ15" i="12" s="1"/>
  <c r="CB14" i="12"/>
  <c r="CC14" i="12" s="1"/>
  <c r="CN23" i="12"/>
  <c r="CO23" i="12" s="1"/>
  <c r="CR15" i="12"/>
  <c r="AC23" i="12"/>
  <c r="S6" i="12"/>
  <c r="U6" i="12" s="1"/>
  <c r="BD18" i="12"/>
  <c r="CB8" i="12"/>
  <c r="CC8" i="12" s="1"/>
  <c r="CN8" i="12"/>
  <c r="CO8" i="12" s="1"/>
  <c r="CR10" i="12"/>
  <c r="CS10" i="12" s="1"/>
  <c r="P12" i="12"/>
  <c r="Q12" i="12" s="1"/>
  <c r="P9" i="12"/>
  <c r="Q9" i="12" s="1"/>
  <c r="S5" i="12"/>
  <c r="U5" i="12" s="1"/>
  <c r="W21" i="12"/>
  <c r="Y21" i="12" s="1"/>
  <c r="AF8" i="12"/>
  <c r="AG8" i="12" s="1"/>
  <c r="AI5" i="12"/>
  <c r="AK5" i="12" s="1"/>
  <c r="BG19" i="12"/>
  <c r="BI19" i="12" s="1"/>
  <c r="BL10" i="12"/>
  <c r="BM10" i="12" s="1"/>
  <c r="CB7" i="12"/>
  <c r="CC7" i="12" s="1"/>
  <c r="AQ8" i="12"/>
  <c r="AS8" i="12" s="1"/>
  <c r="BD10" i="12"/>
  <c r="BE10" i="12" s="1"/>
  <c r="CN6" i="12"/>
  <c r="CO6" i="12" s="1"/>
  <c r="T18" i="12"/>
  <c r="U18" i="12" s="1"/>
  <c r="BD8" i="12"/>
  <c r="AR22" i="12"/>
  <c r="AS22" i="12" s="1"/>
  <c r="AY20" i="12"/>
  <c r="BA20" i="12" s="1"/>
  <c r="CF11" i="12"/>
  <c r="CG11" i="12" s="1"/>
  <c r="T16" i="12"/>
  <c r="U16" i="12" s="1"/>
  <c r="AJ10" i="12"/>
  <c r="AK10" i="12" s="1"/>
  <c r="AN14" i="12"/>
  <c r="AO14" i="12" s="1"/>
  <c r="W9" i="12"/>
  <c r="Y9" i="12" s="1"/>
  <c r="AR19" i="12"/>
  <c r="AS19" i="12" s="1"/>
  <c r="AV14" i="12"/>
  <c r="AW14" i="12" s="1"/>
  <c r="AY19" i="12"/>
  <c r="BA19" i="12" s="1"/>
  <c r="BI23" i="12"/>
  <c r="BH22" i="12"/>
  <c r="BI22" i="12" s="1"/>
  <c r="BK19" i="12"/>
  <c r="BM19" i="12" s="1"/>
  <c r="BT11" i="12"/>
  <c r="BU11" i="12" s="1"/>
  <c r="CF10" i="12"/>
  <c r="CG10" i="12" s="1"/>
  <c r="CI5" i="12"/>
  <c r="CK5" i="12" s="1"/>
  <c r="AR18" i="12"/>
  <c r="AS18" i="12" s="1"/>
  <c r="AV13" i="12"/>
  <c r="AW13" i="12" s="1"/>
  <c r="CM20" i="12"/>
  <c r="CO20" i="12" s="1"/>
  <c r="BO9" i="12"/>
  <c r="BQ9" i="12" s="1"/>
  <c r="AU11" i="12"/>
  <c r="AW11" i="12" s="1"/>
  <c r="BO8" i="12"/>
  <c r="BQ8" i="12" s="1"/>
  <c r="BX16" i="12"/>
  <c r="BY16" i="12" s="1"/>
  <c r="O23" i="12"/>
  <c r="Q23" i="12" s="1"/>
  <c r="AA12" i="12"/>
  <c r="AC12" i="12" s="1"/>
  <c r="AE11" i="12"/>
  <c r="AG11" i="12" s="1"/>
  <c r="AJ8" i="12"/>
  <c r="AK8" i="12" s="1"/>
  <c r="AN11" i="12"/>
  <c r="AO11" i="12" s="1"/>
  <c r="AQ20" i="12"/>
  <c r="AS20" i="12" s="1"/>
  <c r="AR15" i="12"/>
  <c r="AS15" i="12" s="1"/>
  <c r="AZ15" i="12"/>
  <c r="BA15" i="12" s="1"/>
  <c r="BD6" i="12"/>
  <c r="BE6" i="12" s="1"/>
  <c r="BG16" i="12"/>
  <c r="BI16" i="12" s="1"/>
  <c r="BH11" i="12"/>
  <c r="BI11" i="12" s="1"/>
  <c r="BL17" i="12"/>
  <c r="BM17" i="12" s="1"/>
  <c r="BO7" i="12"/>
  <c r="BQ7" i="12" s="1"/>
  <c r="BX15" i="12"/>
  <c r="BY15" i="12" s="1"/>
  <c r="CR13" i="12"/>
  <c r="O20" i="12"/>
  <c r="Q20" i="12" s="1"/>
  <c r="AE9" i="12"/>
  <c r="AG9" i="12" s="1"/>
  <c r="AJ7" i="12"/>
  <c r="AK7" i="12" s="1"/>
  <c r="AM23" i="12"/>
  <c r="AO23" i="12" s="1"/>
  <c r="AN6" i="12"/>
  <c r="AO6" i="12" s="1"/>
  <c r="AR14" i="12"/>
  <c r="AS14" i="12" s="1"/>
  <c r="AV23" i="12"/>
  <c r="AW23" i="12" s="1"/>
  <c r="AZ14" i="12"/>
  <c r="BA14" i="12" s="1"/>
  <c r="BG15" i="12"/>
  <c r="BI15" i="12" s="1"/>
  <c r="BK20" i="12"/>
  <c r="BM20" i="12" s="1"/>
  <c r="BL16" i="12"/>
  <c r="BM16" i="12" s="1"/>
  <c r="BP21" i="12"/>
  <c r="BQ21" i="12" s="1"/>
  <c r="BT6" i="12"/>
  <c r="BU6" i="12" s="1"/>
  <c r="BX14" i="12"/>
  <c r="BY14" i="12" s="1"/>
  <c r="CB18" i="12"/>
  <c r="CC18" i="12" s="1"/>
  <c r="CF19" i="12"/>
  <c r="CG19" i="12" s="1"/>
  <c r="CJ22" i="12"/>
  <c r="CK22" i="12" s="1"/>
  <c r="CR12" i="12"/>
  <c r="AU12" i="12"/>
  <c r="AW12" i="12" s="1"/>
  <c r="BC9" i="12"/>
  <c r="BE9" i="12" s="1"/>
  <c r="AA13" i="12"/>
  <c r="AC13" i="12" s="1"/>
  <c r="AE12" i="12"/>
  <c r="AG12" i="12" s="1"/>
  <c r="P11" i="12"/>
  <c r="Q11" i="12" s="1"/>
  <c r="T13" i="12"/>
  <c r="U13" i="12" s="1"/>
  <c r="AA8" i="12"/>
  <c r="AC8" i="12" s="1"/>
  <c r="AI9" i="12"/>
  <c r="AK9" i="12" s="1"/>
  <c r="AM19" i="12"/>
  <c r="AO19" i="12" s="1"/>
  <c r="AV22" i="12"/>
  <c r="AW22" i="12" s="1"/>
  <c r="BD21" i="12"/>
  <c r="BE21" i="12" s="1"/>
  <c r="BP20" i="12"/>
  <c r="BQ20" i="12" s="1"/>
  <c r="BX11" i="12"/>
  <c r="BY11" i="12" s="1"/>
  <c r="CB15" i="12"/>
  <c r="CC15" i="12" s="1"/>
  <c r="CF18" i="12"/>
  <c r="CG18" i="12" s="1"/>
  <c r="CN18" i="12"/>
  <c r="CO18" i="12" s="1"/>
  <c r="CR11" i="12"/>
  <c r="CS11" i="12" s="1"/>
  <c r="AQ11" i="12"/>
  <c r="AS11" i="12" s="1"/>
  <c r="AR9" i="12"/>
  <c r="AS9" i="12" s="1"/>
  <c r="AV19" i="12"/>
  <c r="AW19" i="12" s="1"/>
  <c r="AZ10" i="12"/>
  <c r="BA10" i="12" s="1"/>
  <c r="BD20" i="12"/>
  <c r="BE20" i="12" s="1"/>
  <c r="CN15" i="12"/>
  <c r="CO15" i="12" s="1"/>
  <c r="CW16" i="12"/>
  <c r="CQ16" i="12"/>
  <c r="BE8" i="12"/>
  <c r="O13" i="12"/>
  <c r="Q13" i="12" s="1"/>
  <c r="T12" i="12"/>
  <c r="U12" i="12" s="1"/>
  <c r="T11" i="12"/>
  <c r="U11" i="12" s="1"/>
  <c r="Y17" i="12"/>
  <c r="AC21" i="12"/>
  <c r="AF20" i="12"/>
  <c r="AG20" i="12" s="1"/>
  <c r="AI6" i="12"/>
  <c r="AK6" i="12" s="1"/>
  <c r="AV18" i="12"/>
  <c r="AW18" i="12" s="1"/>
  <c r="AY8" i="12"/>
  <c r="BA8" i="12" s="1"/>
  <c r="AZ6" i="12"/>
  <c r="BA6" i="12" s="1"/>
  <c r="BL11" i="12"/>
  <c r="BM11" i="12" s="1"/>
  <c r="BP18" i="12"/>
  <c r="BQ18" i="12" s="1"/>
  <c r="BT22" i="12"/>
  <c r="BU22" i="12" s="1"/>
  <c r="CB11" i="12"/>
  <c r="CC11" i="12" s="1"/>
  <c r="CI20" i="12"/>
  <c r="CK20" i="12" s="1"/>
  <c r="CJ15" i="12"/>
  <c r="CK15" i="12" s="1"/>
  <c r="CQ15" i="12"/>
  <c r="CR7" i="12"/>
  <c r="CS7" i="12" s="1"/>
  <c r="CQ14" i="12"/>
  <c r="CS14" i="12" s="1"/>
  <c r="AM7" i="12"/>
  <c r="AO7" i="12" s="1"/>
  <c r="BM22" i="12"/>
  <c r="BL5" i="12"/>
  <c r="BM5" i="12" s="1"/>
  <c r="BP14" i="12"/>
  <c r="BQ14" i="12" s="1"/>
  <c r="BT18" i="12"/>
  <c r="BU18" i="12" s="1"/>
  <c r="CI17" i="12"/>
  <c r="CK17" i="12" s="1"/>
  <c r="CQ13" i="12"/>
  <c r="Y10" i="12"/>
  <c r="AC14" i="12"/>
  <c r="AJ19" i="12"/>
  <c r="AK19" i="12" s="1"/>
  <c r="BD14" i="12"/>
  <c r="BE14" i="12" s="1"/>
  <c r="CB6" i="12"/>
  <c r="CC6" i="12" s="1"/>
  <c r="CJ10" i="12"/>
  <c r="CK10" i="12" s="1"/>
  <c r="CQ12" i="12"/>
  <c r="T7" i="12"/>
  <c r="U7" i="12" s="1"/>
  <c r="Y8" i="12"/>
  <c r="AC11" i="12"/>
  <c r="AI21" i="12"/>
  <c r="AK21" i="12" s="1"/>
  <c r="AJ18" i="12"/>
  <c r="AK18" i="12" s="1"/>
  <c r="AU15" i="12"/>
  <c r="AW15" i="12" s="1"/>
  <c r="AZ22" i="12"/>
  <c r="BA22" i="12" s="1"/>
  <c r="BC12" i="12"/>
  <c r="BE12" i="12" s="1"/>
  <c r="BO12" i="12"/>
  <c r="BQ12" i="12" s="1"/>
  <c r="CR23" i="12"/>
  <c r="CS23" i="12" s="1"/>
  <c r="P21" i="12"/>
  <c r="Q21" i="12" s="1"/>
  <c r="T23" i="12"/>
  <c r="U23" i="12" s="1"/>
  <c r="AE17" i="12"/>
  <c r="AG17" i="12" s="1"/>
  <c r="AJ14" i="12"/>
  <c r="AK14" i="12" s="1"/>
  <c r="AN18" i="12"/>
  <c r="AO18" i="12" s="1"/>
  <c r="AV10" i="12"/>
  <c r="AW10" i="12" s="1"/>
  <c r="AZ18" i="12"/>
  <c r="BA18" i="12" s="1"/>
  <c r="BC11" i="12"/>
  <c r="BE11" i="12" s="1"/>
  <c r="BH18" i="12"/>
  <c r="BI18" i="12" s="1"/>
  <c r="BO11" i="12"/>
  <c r="BQ11" i="12" s="1"/>
  <c r="BX22" i="12"/>
  <c r="BY22" i="12" s="1"/>
  <c r="CI8" i="12"/>
  <c r="CK8" i="12" s="1"/>
  <c r="CR22" i="12"/>
  <c r="CS22" i="12" s="1"/>
  <c r="AE13" i="12"/>
  <c r="AG13" i="12" s="1"/>
  <c r="AF18" i="12"/>
  <c r="AG18" i="12" s="1"/>
  <c r="AJ22" i="12"/>
  <c r="AK22" i="12" s="1"/>
  <c r="AM13" i="12"/>
  <c r="AN13" i="12"/>
  <c r="AM20" i="12"/>
  <c r="AO20" i="12" s="1"/>
  <c r="AN22" i="12"/>
  <c r="AO22" i="12" s="1"/>
  <c r="AQ12" i="12"/>
  <c r="AS12" i="12" s="1"/>
  <c r="BG20" i="12"/>
  <c r="BH20" i="12"/>
  <c r="BG8" i="12"/>
  <c r="BH8" i="12"/>
  <c r="BK12" i="12"/>
  <c r="BL12" i="12"/>
  <c r="CM16" i="12"/>
  <c r="CN16" i="12"/>
  <c r="P18" i="12"/>
  <c r="Q18" i="12" s="1"/>
  <c r="P6" i="12"/>
  <c r="Q6" i="12" s="1"/>
  <c r="T22" i="12"/>
  <c r="U22" i="12" s="1"/>
  <c r="T10" i="12"/>
  <c r="U10" i="12" s="1"/>
  <c r="AC5" i="12"/>
  <c r="AM16" i="12"/>
  <c r="AO16" i="12" s="1"/>
  <c r="BX12" i="12"/>
  <c r="BY12" i="12" s="1"/>
  <c r="CB16" i="12"/>
  <c r="CC16" i="12" s="1"/>
  <c r="CF20" i="12"/>
  <c r="CG20" i="12" s="1"/>
  <c r="CF8" i="12"/>
  <c r="CG8" i="12" s="1"/>
  <c r="CW13" i="12"/>
  <c r="AU9" i="12"/>
  <c r="AV9" i="12"/>
  <c r="O22" i="12"/>
  <c r="Q22" i="12" s="1"/>
  <c r="O10" i="12"/>
  <c r="Q10" i="12" s="1"/>
  <c r="P17" i="12"/>
  <c r="Q17" i="12" s="1"/>
  <c r="P5" i="12"/>
  <c r="Q5" i="12" s="1"/>
  <c r="S14" i="12"/>
  <c r="U14" i="12" s="1"/>
  <c r="T21" i="12"/>
  <c r="U21" i="12" s="1"/>
  <c r="T9" i="12"/>
  <c r="U9" i="12" s="1"/>
  <c r="W18" i="12"/>
  <c r="Y18" i="12" s="1"/>
  <c r="W6" i="12"/>
  <c r="Y6" i="12" s="1"/>
  <c r="AA22" i="12"/>
  <c r="AC22" i="12" s="1"/>
  <c r="AA10" i="12"/>
  <c r="AC10" i="12" s="1"/>
  <c r="AC17" i="12"/>
  <c r="AE23" i="12"/>
  <c r="AG23" i="12" s="1"/>
  <c r="AM15" i="12"/>
  <c r="AO15" i="12" s="1"/>
  <c r="AR6" i="12"/>
  <c r="AS6" i="12" s="1"/>
  <c r="AY12" i="12"/>
  <c r="AZ12" i="12"/>
  <c r="CW12" i="12"/>
  <c r="AU8" i="12"/>
  <c r="AV8" i="12"/>
  <c r="CI12" i="12"/>
  <c r="CJ12" i="12"/>
  <c r="P16" i="12"/>
  <c r="Q16" i="12" s="1"/>
  <c r="T20" i="12"/>
  <c r="U20" i="12" s="1"/>
  <c r="T8" i="12"/>
  <c r="U8" i="12" s="1"/>
  <c r="Y12" i="12"/>
  <c r="AA9" i="12"/>
  <c r="AC9" i="12" s="1"/>
  <c r="AC16" i="12"/>
  <c r="AE7" i="12"/>
  <c r="AG7" i="12" s="1"/>
  <c r="AI12" i="12"/>
  <c r="AK12" i="12" s="1"/>
  <c r="AQ17" i="12"/>
  <c r="AR17" i="12"/>
  <c r="AQ5" i="12"/>
  <c r="AR5" i="12"/>
  <c r="AU17" i="12"/>
  <c r="AV17" i="12"/>
  <c r="AU5" i="12"/>
  <c r="AV5" i="12"/>
  <c r="BT8" i="12"/>
  <c r="BU8" i="12" s="1"/>
  <c r="Y23" i="12"/>
  <c r="AC15" i="12"/>
  <c r="AE6" i="12"/>
  <c r="AG6" i="12" s="1"/>
  <c r="AF10" i="12"/>
  <c r="AG10" i="12" s="1"/>
  <c r="AI11" i="12"/>
  <c r="AK11" i="12" s="1"/>
  <c r="AM10" i="12"/>
  <c r="AO10" i="12" s="1"/>
  <c r="AN12" i="12"/>
  <c r="AO12" i="12" s="1"/>
  <c r="AQ16" i="12"/>
  <c r="AR16" i="12"/>
  <c r="AU20" i="12"/>
  <c r="AV20" i="12"/>
  <c r="AE19" i="12"/>
  <c r="AG19" i="12" s="1"/>
  <c r="AE5" i="12"/>
  <c r="AG5" i="12" s="1"/>
  <c r="AU21" i="12"/>
  <c r="AV21" i="12"/>
  <c r="BT20" i="12"/>
  <c r="BU20" i="12" s="1"/>
  <c r="AA6" i="12"/>
  <c r="AC6" i="12" s="1"/>
  <c r="AF22" i="12"/>
  <c r="AG22" i="12" s="1"/>
  <c r="AM8" i="12"/>
  <c r="AO8" i="12" s="1"/>
  <c r="AU16" i="12"/>
  <c r="AW16" i="12" s="1"/>
  <c r="BC16" i="12"/>
  <c r="BD16" i="12"/>
  <c r="CQ20" i="12"/>
  <c r="CR20" i="12"/>
  <c r="CQ8" i="12"/>
  <c r="CW8" i="12"/>
  <c r="CR8" i="12"/>
  <c r="AI23" i="12"/>
  <c r="AK23" i="12" s="1"/>
  <c r="BO16" i="12"/>
  <c r="BP16" i="12"/>
  <c r="BE18" i="12"/>
  <c r="AM21" i="12"/>
  <c r="AO21" i="12" s="1"/>
  <c r="AQ13" i="12"/>
  <c r="AS13" i="12" s="1"/>
  <c r="AZ13" i="12"/>
  <c r="BA13" i="12" s="1"/>
  <c r="BD17" i="12"/>
  <c r="BE17" i="12" s="1"/>
  <c r="BD5" i="12"/>
  <c r="BE5" i="12" s="1"/>
  <c r="BG14" i="12"/>
  <c r="BI14" i="12" s="1"/>
  <c r="BH21" i="12"/>
  <c r="BI21" i="12" s="1"/>
  <c r="BH9" i="12"/>
  <c r="BI9" i="12" s="1"/>
  <c r="BK18" i="12"/>
  <c r="BM18" i="12" s="1"/>
  <c r="BK6" i="12"/>
  <c r="BM6" i="12" s="1"/>
  <c r="BL13" i="12"/>
  <c r="BM13" i="12" s="1"/>
  <c r="BO22" i="12"/>
  <c r="BQ22" i="12" s="1"/>
  <c r="BO10" i="12"/>
  <c r="BQ10" i="12" s="1"/>
  <c r="BP17" i="12"/>
  <c r="BQ17" i="12" s="1"/>
  <c r="BP5" i="12"/>
  <c r="BQ5" i="12" s="1"/>
  <c r="BT21" i="12"/>
  <c r="BU21" i="12" s="1"/>
  <c r="BT9" i="12"/>
  <c r="BU9" i="12" s="1"/>
  <c r="BX13" i="12"/>
  <c r="BY13" i="12" s="1"/>
  <c r="CB17" i="12"/>
  <c r="CC17" i="12" s="1"/>
  <c r="CB5" i="12"/>
  <c r="CC5" i="12" s="1"/>
  <c r="CF21" i="12"/>
  <c r="CG21" i="12" s="1"/>
  <c r="CF9" i="12"/>
  <c r="CG9" i="12" s="1"/>
  <c r="CI18" i="12"/>
  <c r="CK18" i="12" s="1"/>
  <c r="CI6" i="12"/>
  <c r="CK6" i="12" s="1"/>
  <c r="CJ13" i="12"/>
  <c r="CK13" i="12" s="1"/>
  <c r="CM22" i="12"/>
  <c r="CO22" i="12" s="1"/>
  <c r="CM10" i="12"/>
  <c r="CO10" i="12" s="1"/>
  <c r="CN17" i="12"/>
  <c r="CO17" i="12" s="1"/>
  <c r="CN5" i="12"/>
  <c r="CO5" i="12" s="1"/>
  <c r="CR21" i="12"/>
  <c r="CS21" i="12" s="1"/>
  <c r="CR9" i="12"/>
  <c r="CS9" i="12" s="1"/>
  <c r="CM21" i="12"/>
  <c r="CO21" i="12" s="1"/>
  <c r="CM9" i="12"/>
  <c r="CO9" i="12" s="1"/>
  <c r="CW23" i="12"/>
  <c r="CW11" i="12"/>
  <c r="CN14" i="12"/>
  <c r="CO14" i="12" s="1"/>
  <c r="CR18" i="12"/>
  <c r="CS18" i="12" s="1"/>
  <c r="CR6" i="12"/>
  <c r="CS6" i="12" s="1"/>
  <c r="CW22" i="12"/>
  <c r="AZ21" i="12"/>
  <c r="BA21" i="12" s="1"/>
  <c r="AZ9" i="12"/>
  <c r="BA9" i="12" s="1"/>
  <c r="BD13" i="12"/>
  <c r="BE13" i="12" s="1"/>
  <c r="BH17" i="12"/>
  <c r="BI17" i="12" s="1"/>
  <c r="BH5" i="12"/>
  <c r="BI5" i="12" s="1"/>
  <c r="BL21" i="12"/>
  <c r="BM21" i="12" s="1"/>
  <c r="BL9" i="12"/>
  <c r="BM9" i="12" s="1"/>
  <c r="BP13" i="12"/>
  <c r="BQ13" i="12" s="1"/>
  <c r="BT17" i="12"/>
  <c r="BU17" i="12" s="1"/>
  <c r="BT5" i="12"/>
  <c r="BU5" i="12" s="1"/>
  <c r="BX21" i="12"/>
  <c r="BY21" i="12" s="1"/>
  <c r="BX9" i="12"/>
  <c r="BY9" i="12" s="1"/>
  <c r="CB13" i="12"/>
  <c r="CC13" i="12" s="1"/>
  <c r="CF17" i="12"/>
  <c r="CG17" i="12" s="1"/>
  <c r="CF5" i="12"/>
  <c r="CG5" i="12" s="1"/>
  <c r="CJ21" i="12"/>
  <c r="CK21" i="12" s="1"/>
  <c r="CJ9" i="12"/>
  <c r="CK9" i="12" s="1"/>
  <c r="CN13" i="12"/>
  <c r="CO13" i="12" s="1"/>
  <c r="CR17" i="12"/>
  <c r="CS17" i="12" s="1"/>
  <c r="CR5" i="12"/>
  <c r="CS5" i="12" s="1"/>
  <c r="CW21" i="12"/>
  <c r="CR16" i="12"/>
  <c r="CW18" i="12"/>
  <c r="CW6" i="12"/>
  <c r="CW5" i="12"/>
  <c r="K13" i="12"/>
  <c r="M13" i="12" s="1"/>
  <c r="G17" i="12"/>
  <c r="I17" i="12" s="1"/>
  <c r="L9" i="12"/>
  <c r="M9" i="12" s="1"/>
  <c r="G15" i="12"/>
  <c r="I15" i="12" s="1"/>
  <c r="G5" i="12"/>
  <c r="I5" i="12" s="1"/>
  <c r="H13" i="12"/>
  <c r="I13" i="12" s="1"/>
  <c r="H12" i="12"/>
  <c r="I12" i="12" s="1"/>
  <c r="L21" i="12"/>
  <c r="M21" i="12" s="1"/>
  <c r="G21" i="12"/>
  <c r="I21" i="12" s="1"/>
  <c r="L20" i="12"/>
  <c r="M20" i="12" s="1"/>
  <c r="G18" i="12"/>
  <c r="I18" i="12" s="1"/>
  <c r="G16" i="12"/>
  <c r="I16" i="12" s="1"/>
  <c r="L8" i="12"/>
  <c r="M8" i="12" s="1"/>
  <c r="G9" i="12"/>
  <c r="I9" i="12" s="1"/>
  <c r="G6" i="12"/>
  <c r="I6" i="12" s="1"/>
  <c r="K16" i="12"/>
  <c r="M16" i="12" s="1"/>
  <c r="K14" i="12"/>
  <c r="M14" i="12" s="1"/>
  <c r="G20" i="12"/>
  <c r="I20" i="12" s="1"/>
  <c r="G8" i="12"/>
  <c r="I8" i="12" s="1"/>
  <c r="K12" i="12"/>
  <c r="M12" i="12" s="1"/>
  <c r="L19" i="12"/>
  <c r="M19" i="12" s="1"/>
  <c r="L7" i="12"/>
  <c r="M7" i="12" s="1"/>
  <c r="G19" i="12"/>
  <c r="I19" i="12" s="1"/>
  <c r="G7" i="12"/>
  <c r="I7" i="12" s="1"/>
  <c r="H14" i="12"/>
  <c r="I14" i="12" s="1"/>
  <c r="K23" i="12"/>
  <c r="M23" i="12" s="1"/>
  <c r="K11" i="12"/>
  <c r="M11" i="12" s="1"/>
  <c r="L18" i="12"/>
  <c r="M18" i="12" s="1"/>
  <c r="L6" i="12"/>
  <c r="M6" i="12" s="1"/>
  <c r="K22" i="12"/>
  <c r="M22" i="12" s="1"/>
  <c r="K10" i="12"/>
  <c r="M10" i="12" s="1"/>
  <c r="L17" i="12"/>
  <c r="M17" i="12" s="1"/>
  <c r="L5" i="12"/>
  <c r="M5" i="12" s="1"/>
  <c r="H23" i="12"/>
  <c r="I23" i="12" s="1"/>
  <c r="H11" i="12"/>
  <c r="I11" i="12" s="1"/>
  <c r="L15" i="12"/>
  <c r="M15" i="12" s="1"/>
  <c r="H22" i="12"/>
  <c r="I22" i="12" s="1"/>
  <c r="H10" i="12"/>
  <c r="I10" i="12" s="1"/>
  <c r="DK16" i="12"/>
  <c r="DK8" i="12"/>
  <c r="DC4" i="12"/>
  <c r="DK20" i="12"/>
  <c r="DC18" i="12"/>
  <c r="DC6" i="12"/>
  <c r="DC17" i="12"/>
  <c r="DC16" i="12"/>
  <c r="DC15" i="12"/>
  <c r="DC14" i="12"/>
  <c r="DC5" i="12"/>
  <c r="DC13" i="12"/>
  <c r="DC12" i="12"/>
  <c r="DC19" i="12"/>
  <c r="DC7" i="12"/>
  <c r="DC23" i="12"/>
  <c r="DC11" i="12"/>
  <c r="DC22" i="12"/>
  <c r="DC10" i="12"/>
  <c r="DC21" i="12"/>
  <c r="DC9" i="12"/>
  <c r="DC20" i="12"/>
  <c r="DC8" i="12"/>
  <c r="DK18" i="12"/>
  <c r="DK6" i="12"/>
  <c r="DK21" i="12"/>
  <c r="DK9" i="12"/>
  <c r="DK13" i="12"/>
  <c r="DK14" i="12"/>
  <c r="DK15" i="12"/>
  <c r="DK17" i="12"/>
  <c r="DK5" i="12"/>
  <c r="DK22" i="12"/>
  <c r="DK10" i="12"/>
  <c r="DK19" i="12"/>
  <c r="DK7" i="12"/>
  <c r="DK4" i="12"/>
  <c r="DK12" i="12"/>
  <c r="DK23" i="12"/>
  <c r="DK11" i="12"/>
  <c r="AN4" i="12"/>
  <c r="AO4" i="12" s="1"/>
  <c r="G4" i="12"/>
  <c r="I4" i="12" s="1"/>
  <c r="CR4" i="12"/>
  <c r="CS4" i="12" s="1"/>
  <c r="Y4" i="12"/>
  <c r="BP4" i="12"/>
  <c r="BO4" i="12"/>
  <c r="L4" i="12"/>
  <c r="M4" i="12" s="1"/>
  <c r="CF4" i="12"/>
  <c r="CG4" i="12" s="1"/>
  <c r="CN4" i="12"/>
  <c r="CM4" i="12"/>
  <c r="AC4" i="12"/>
  <c r="AF4" i="12"/>
  <c r="AE4" i="12"/>
  <c r="BT4" i="12"/>
  <c r="BU4" i="12" s="1"/>
  <c r="P4" i="12"/>
  <c r="Q4" i="12" s="1"/>
  <c r="CJ4" i="12"/>
  <c r="CK4" i="12" s="1"/>
  <c r="BH4" i="12"/>
  <c r="BI4" i="12" s="1"/>
  <c r="BX4" i="12"/>
  <c r="BY4" i="12" s="1"/>
  <c r="AR4" i="12"/>
  <c r="AQ4" i="12"/>
  <c r="AV4" i="12"/>
  <c r="AW4" i="12" s="1"/>
  <c r="BC4" i="12"/>
  <c r="CB4" i="12"/>
  <c r="CC4" i="12" s="1"/>
  <c r="BL4" i="12"/>
  <c r="BM4" i="12" s="1"/>
  <c r="T4" i="12"/>
  <c r="S4" i="12"/>
  <c r="AJ4" i="12"/>
  <c r="AK4" i="12" s="1"/>
  <c r="AX4" i="12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" i="8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" i="8"/>
  <c r="D2" i="7" a="1"/>
  <c r="D8" i="7" s="1"/>
  <c r="E7" i="6"/>
  <c r="E6" i="6"/>
  <c r="E5" i="6"/>
  <c r="E4" i="6"/>
  <c r="E3" i="6"/>
  <c r="E2" i="6"/>
  <c r="CS16" i="12" l="1"/>
  <c r="CS15" i="12"/>
  <c r="CS8" i="12"/>
  <c r="CK12" i="12"/>
  <c r="AW20" i="12"/>
  <c r="BA12" i="12"/>
  <c r="AW17" i="12"/>
  <c r="AS16" i="12"/>
  <c r="AS5" i="12"/>
  <c r="BM12" i="12"/>
  <c r="BI20" i="12"/>
  <c r="CS12" i="12"/>
  <c r="BI8" i="12"/>
  <c r="CS13" i="12"/>
  <c r="CS20" i="12"/>
  <c r="AS17" i="12"/>
  <c r="CO16" i="12"/>
  <c r="AO13" i="12"/>
  <c r="CX10" i="12"/>
  <c r="CX22" i="12"/>
  <c r="CX14" i="12"/>
  <c r="CX6" i="12"/>
  <c r="AW21" i="12"/>
  <c r="CX21" i="12" s="1"/>
  <c r="AW8" i="12"/>
  <c r="AW9" i="12"/>
  <c r="CX9" i="12" s="1"/>
  <c r="CX7" i="12"/>
  <c r="CX15" i="12"/>
  <c r="CX11" i="12"/>
  <c r="CX19" i="12"/>
  <c r="BE16" i="12"/>
  <c r="AW5" i="12"/>
  <c r="CX23" i="12"/>
  <c r="CX18" i="12"/>
  <c r="BQ16" i="12"/>
  <c r="U4" i="12"/>
  <c r="BE4" i="12"/>
  <c r="AY4" i="12"/>
  <c r="AZ4" i="12"/>
  <c r="AS4" i="12"/>
  <c r="CO4" i="12"/>
  <c r="AG4" i="12"/>
  <c r="BQ4" i="12"/>
  <c r="D2" i="7"/>
  <c r="D3" i="7"/>
  <c r="D4" i="7"/>
  <c r="D5" i="7"/>
  <c r="D6" i="7"/>
  <c r="D7" i="7"/>
  <c r="CX17" i="12" l="1"/>
  <c r="CX5" i="12"/>
  <c r="CX12" i="12"/>
  <c r="CX16" i="12"/>
  <c r="CX13" i="12"/>
  <c r="DM13" i="12" s="1"/>
  <c r="CX20" i="12"/>
  <c r="DM20" i="12" s="1"/>
  <c r="CX8" i="12"/>
  <c r="DM8" i="12" s="1"/>
  <c r="DM16" i="12"/>
  <c r="BA4" i="12"/>
  <c r="CX4" i="12" s="1"/>
  <c r="DM4" i="12" s="1"/>
  <c r="DM7" i="12"/>
  <c r="DM9" i="12"/>
  <c r="DM11" i="12"/>
  <c r="DM21" i="12"/>
  <c r="DM23" i="12"/>
  <c r="DM14" i="12"/>
  <c r="DM5" i="12"/>
  <c r="DM12" i="12"/>
  <c r="DM17" i="12"/>
  <c r="DM15" i="12"/>
  <c r="DM19" i="12"/>
  <c r="DM6" i="12"/>
  <c r="DM22" i="12"/>
  <c r="DM10" i="12"/>
  <c r="DM18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Lúcio Torres</author>
  </authors>
  <commentList>
    <comment ref="P14" authorId="0" shapeId="0" xr:uid="{C0C90EBB-C5AE-4593-B542-14DA3BF6186E}">
      <text>
        <r>
          <rPr>
            <sz val="9"/>
            <color indexed="81"/>
            <rFont val="Segoe UI"/>
            <family val="2"/>
          </rPr>
          <t>Considerado o valor para Toalha de rosto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Lúcio Torres</author>
  </authors>
  <commentList>
    <comment ref="B1" authorId="0" shapeId="0" xr:uid="{3833977A-0373-4373-A442-FBA5CBA9B0DD}">
      <text>
        <r>
          <rPr>
            <sz val="9"/>
            <color indexed="81"/>
            <rFont val="Segoe UI"/>
            <family val="2"/>
          </rPr>
          <t xml:space="preserve">Coluna "Toalha de Maquiagem", "Pano de Prato"  e "Pano de Pia" está em falta
Preço por UND? Preço por KG?
</t>
        </r>
      </text>
    </comment>
    <comment ref="O1" authorId="0" shapeId="0" xr:uid="{AE78CD1B-F883-4D27-AA64-3E1A41AAB478}">
      <text>
        <r>
          <rPr>
            <sz val="9"/>
            <color indexed="81"/>
            <rFont val="Segoe UI"/>
            <family val="2"/>
          </rPr>
          <t>Vários itens sem preço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5" authorId="0" shapeId="0" xr:uid="{00000000-0006-0000-0400-000001000000}">
      <text>
        <r>
          <rPr>
            <sz val="10"/>
            <color rgb="FF000000"/>
            <rFont val="Arial"/>
            <family val="2"/>
            <scheme val="minor"/>
          </rPr>
          <t>Site com 4 quartos acima de site com 5 e 6 quartos
======</t>
        </r>
      </text>
    </comment>
    <comment ref="B6" authorId="0" shapeId="0" xr:uid="{00000000-0006-0000-0400-000002000000}">
      <text>
        <r>
          <rPr>
            <sz val="10"/>
            <color rgb="FF000000"/>
            <rFont val="Arial"/>
            <family val="2"/>
            <scheme val="minor"/>
          </rPr>
          <t>Para 2, 3 e 5 quartos o valor é o mesmo.
======</t>
        </r>
      </text>
    </comment>
    <comment ref="B8" authorId="0" shapeId="0" xr:uid="{00000000-0006-0000-0400-000003000000}">
      <text>
        <r>
          <rPr>
            <sz val="10"/>
            <color rgb="FF000000"/>
            <rFont val="Arial"/>
            <family val="2"/>
            <scheme val="minor"/>
          </rPr>
          <t>Para 4 e 7 quartos, o valor é o mesmo
======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Lúcio Torres</author>
  </authors>
  <commentList>
    <comment ref="A4" authorId="0" shapeId="0" xr:uid="{00000000-0006-0000-0300-000001000000}">
      <text>
        <r>
          <rPr>
            <sz val="10"/>
            <color rgb="FF000000"/>
            <rFont val="Arial"/>
            <family val="2"/>
            <scheme val="minor"/>
          </rPr>
          <t>Necessário?
======</t>
        </r>
      </text>
    </comment>
    <comment ref="B4" authorId="0" shapeId="0" xr:uid="{00000000-0006-0000-0300-000002000000}">
      <text>
        <r>
          <rPr>
            <sz val="10"/>
            <color rgb="FF000000"/>
            <rFont val="Arial"/>
            <family val="2"/>
            <scheme val="minor"/>
          </rPr>
          <t>Sem peso atrelado?
======
Adicionado um peso de 68 gramas por referências na internet</t>
        </r>
      </text>
    </comment>
    <comment ref="B6" authorId="1" shapeId="0" xr:uid="{471288BA-BE49-4718-BAA9-5606600B7ECA}">
      <text>
        <r>
          <rPr>
            <sz val="9"/>
            <color indexed="81"/>
            <rFont val="Segoe UI"/>
            <family val="2"/>
          </rPr>
          <t>1 Casa decimal?</t>
        </r>
      </text>
    </comment>
    <comment ref="B7" authorId="0" shapeId="0" xr:uid="{00000000-0006-0000-0300-000003000000}">
      <text>
        <r>
          <rPr>
            <sz val="10"/>
            <color rgb="FF000000"/>
            <rFont val="Arial"/>
            <family val="2"/>
            <scheme val="minor"/>
          </rPr>
          <t>Sem peso atrelado?
======
Inserido um peso de 40g de acordo com referências na internet</t>
        </r>
      </text>
    </comment>
    <comment ref="A8" authorId="0" shapeId="0" xr:uid="{00000000-0006-0000-0300-000004000000}">
      <text>
        <r>
          <rPr>
            <sz val="10"/>
            <color rgb="FF000000"/>
            <rFont val="Arial"/>
            <family val="2"/>
            <scheme val="minor"/>
          </rPr>
          <t>Só um tipo de manta?
======</t>
        </r>
      </text>
    </comment>
    <comment ref="B12" authorId="0" shapeId="0" xr:uid="{00000000-0006-0000-0300-000005000000}">
      <text>
        <r>
          <rPr>
            <sz val="10"/>
            <color rgb="FF000000"/>
            <rFont val="Arial"/>
            <family val="2"/>
            <scheme val="minor"/>
          </rPr>
          <t>Lençol para diversos tipos de cama com mesmo peso.
Visto que uma máquina de lavar possui limite de peso a ser inserido, o valor precisa ser conferido
======</t>
        </r>
      </text>
    </comment>
    <comment ref="B19" authorId="1" shapeId="0" xr:uid="{FB14EACB-DF77-4540-B244-2639943A5E67}">
      <text>
        <r>
          <rPr>
            <sz val="9"/>
            <color indexed="81"/>
            <rFont val="Segoe UI"/>
            <family val="2"/>
          </rPr>
          <t>Mesmo custo do Edredom Casal?</t>
        </r>
      </text>
    </comment>
    <comment ref="B21" authorId="0" shapeId="0" xr:uid="{00000000-0006-0000-0300-000006000000}">
      <text>
        <r>
          <rPr>
            <sz val="10"/>
            <color rgb="FF000000"/>
            <rFont val="Arial"/>
            <family val="2"/>
            <scheme val="minor"/>
          </rPr>
          <t>Visto que toda máquina de lavar existe um limite de peso de capacidade para evitar danos e lavar adequadamente, os pesos dos Lençois (por estarem todos com 0,3) devem ser revistos.
O peso da Toalha de Maquiagem e do pano de pia devem ser estudados. 
Não tem informação de marca, tipo, tamanho, para ser padronizado para todos os imóveis
Manter a unidade como Kg
======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Lúcio Torres</author>
    <author/>
  </authors>
  <commentList>
    <comment ref="B1" authorId="0" shapeId="0" xr:uid="{5D119A11-A966-4F12-8304-F70F34250E1E}">
      <text>
        <r>
          <rPr>
            <sz val="9"/>
            <color indexed="81"/>
            <rFont val="Segoe UI"/>
            <family val="2"/>
          </rPr>
          <t>Item*</t>
        </r>
      </text>
    </comment>
    <comment ref="B2" authorId="1" shapeId="0" xr:uid="{00000000-0006-0000-0500-000001000000}">
      <text>
        <r>
          <rPr>
            <sz val="10"/>
            <color rgb="FF000000"/>
            <rFont val="Arial"/>
            <family val="2"/>
            <scheme val="minor"/>
          </rPr>
          <t>Sabonete de que? Banho? Pia? banho e pia?
Sugestão: Inserir sabonete líquido (Pia)
======</t>
        </r>
      </text>
    </comment>
    <comment ref="A7" authorId="1" shapeId="0" xr:uid="{00000000-0006-0000-0500-000002000000}">
      <text>
        <r>
          <rPr>
            <sz val="10"/>
            <color rgb="FF000000"/>
            <rFont val="Arial"/>
            <family val="2"/>
            <scheme val="minor"/>
          </rPr>
          <t>Inconsistência. Coluna D indica "quantidade de banheiro e lavabo", enquanto a coluna A indica o Local (Banheiro ou Lavabo)
Sugestão: Mantém a coluna A e troca o título da coluna D
Resultado: Mais fácil de visualizar e pode colocar quantidades diferentes para banheiro e lavabo.
======</t>
        </r>
      </text>
    </comment>
    <comment ref="D7" authorId="1" shapeId="0" xr:uid="{00000000-0006-0000-0500-000003000000}">
      <text>
        <r>
          <rPr>
            <sz val="10"/>
            <color rgb="FF000000"/>
            <rFont val="Arial"/>
            <family val="2"/>
            <scheme val="minor"/>
          </rPr>
          <t>A quantidade depende do número de hóspedes e da duração no site.
Sugestão: colocar uma unidade por hóspede e informar (deixar claro) que é de responsabilidade do hóspede a reposição da Amenities
======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Lúcio Torres</author>
    <author/>
  </authors>
  <commentList>
    <comment ref="A1" authorId="0" shapeId="0" xr:uid="{1F5B596B-2219-4322-97A2-5A895D7AC51F}">
      <text>
        <r>
          <rPr>
            <sz val="9"/>
            <color indexed="81"/>
            <rFont val="Segoe UI"/>
            <family val="2"/>
          </rPr>
          <t>Item*</t>
        </r>
      </text>
    </comment>
    <comment ref="A4" authorId="1" shapeId="0" xr:uid="{00000000-0006-0000-0600-000001000000}">
      <text>
        <r>
          <rPr>
            <sz val="10"/>
            <color rgb="FF000000"/>
            <rFont val="Arial"/>
            <family val="2"/>
            <scheme val="minor"/>
          </rPr>
          <t>Podem ser reutilizados. 
Como este pode possuir contaminação. Um estudo deve ser realizado sobre durabilidade de um pano e o custo de lavagem
======</t>
        </r>
      </text>
    </comment>
    <comment ref="A5" authorId="1" shapeId="0" xr:uid="{00000000-0006-0000-0600-000002000000}">
      <text>
        <r>
          <rPr>
            <sz val="10"/>
            <color rgb="FF000000"/>
            <rFont val="Arial"/>
            <family val="2"/>
            <scheme val="minor"/>
          </rPr>
          <t>Podem ser reutilizados
======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Lúcio Torres</author>
  </authors>
  <commentList>
    <comment ref="L1" authorId="0" shapeId="0" xr:uid="{1D69D8E7-83EF-429D-B13D-96B5C10FE700}">
      <text>
        <r>
          <rPr>
            <sz val="9"/>
            <color indexed="81"/>
            <rFont val="Segoe UI"/>
            <family val="2"/>
          </rPr>
          <t>Adicionada esta coluna para avaliar o número de hóspedes com número de camas e sófas-cama</t>
        </r>
      </text>
    </comment>
    <comment ref="M1" authorId="0" shapeId="0" xr:uid="{BB1F67A3-C848-46D0-9E1B-53EB64FEE93E}">
      <text>
        <r>
          <rPr>
            <sz val="9"/>
            <color indexed="81"/>
            <rFont val="Segoe UI"/>
            <family val="2"/>
          </rPr>
          <t>Adicionada esta coluna para avaliar o número de hóspedes com número de camas e sófas-cama</t>
        </r>
      </text>
    </comment>
    <comment ref="N1" authorId="0" shapeId="0" xr:uid="{A43A5F84-D6D6-4E8D-A6CA-934379544A11}">
      <text>
        <r>
          <rPr>
            <sz val="9"/>
            <color indexed="81"/>
            <rFont val="Segoe UI"/>
            <family val="2"/>
          </rPr>
          <t>Dados inconsistentes. Número de travesseiros diferente do número de hóspedes.
Adicionado uma regra:
Número de travesseiros menor que hóspedes: vermelho (Crítico);
Número de travesseiros maior que hóspedes: Amarelo (Redução de custos).</t>
        </r>
      </text>
    </comment>
    <comment ref="R1" authorId="0" shapeId="0" xr:uid="{62BCD096-2D4E-424D-B7E2-9DD4D46D59B8}">
      <text>
        <r>
          <rPr>
            <sz val="9"/>
            <color indexed="81"/>
            <rFont val="Segoe UI"/>
            <family val="2"/>
          </rPr>
          <t>Alguns números de lugares para dormir está inconsistente com o número de hóspedes.
Possibilidade da disposição de colchões não foi informada. Esta deve ser informada nos sites.</t>
        </r>
      </text>
    </comment>
    <comment ref="R11" authorId="0" shapeId="0" xr:uid="{9CA4E705-8DE7-40D4-931B-C1D9BB1F1AF7}">
      <text>
        <r>
          <rPr>
            <sz val="9"/>
            <color indexed="81"/>
            <rFont val="Segoe UI"/>
            <family val="2"/>
          </rPr>
          <t xml:space="preserve">Número de hóspedes inconsistente com o número de camas disponível
</t>
        </r>
      </text>
    </comment>
    <comment ref="R15" authorId="0" shapeId="0" xr:uid="{A859BF4F-6AD4-4E32-A15C-D8C6D590D3E9}">
      <text>
        <r>
          <rPr>
            <sz val="9"/>
            <color indexed="81"/>
            <rFont val="Segoe UI"/>
            <family val="2"/>
          </rPr>
          <t>Número de hóspedes inconsistente com o número de camas disponível</t>
        </r>
      </text>
    </comment>
    <comment ref="R17" authorId="0" shapeId="0" xr:uid="{142576E5-76E0-45B9-BD95-3F5E618ACACA}">
      <text>
        <r>
          <rPr>
            <sz val="9"/>
            <color indexed="81"/>
            <rFont val="Segoe UI"/>
            <family val="2"/>
          </rPr>
          <t>Número de hóspedes inconsistente com o número de camas disponível
Maior número de lugares na cama do que de hóspedes</t>
        </r>
      </text>
    </comment>
    <comment ref="R18" authorId="0" shapeId="0" xr:uid="{8311FDD1-547D-4B9E-8B80-5B6B72CE7290}">
      <text>
        <r>
          <rPr>
            <sz val="9"/>
            <color indexed="81"/>
            <rFont val="Segoe UI"/>
            <family val="2"/>
          </rPr>
          <t>Número de hóspedes inconsistente com o número de camas disponível</t>
        </r>
      </text>
    </comment>
    <comment ref="R19" authorId="0" shapeId="0" xr:uid="{05BE338C-AF0B-4269-9A82-97741CF17DC0}">
      <text>
        <r>
          <rPr>
            <sz val="9"/>
            <color indexed="81"/>
            <rFont val="Segoe UI"/>
            <family val="2"/>
          </rPr>
          <t>Número de hóspedes inconsistente com o número de camas disponível
Maior número de lugares na cama do que de hóspedes</t>
        </r>
      </text>
    </comment>
    <comment ref="R20" authorId="0" shapeId="0" xr:uid="{1D05AF55-E03C-47AD-A62D-C0BDE494A2D8}">
      <text>
        <r>
          <rPr>
            <sz val="9"/>
            <color indexed="81"/>
            <rFont val="Segoe UI"/>
            <family val="2"/>
          </rPr>
          <t>Número de hóspedes inconsistente com o número de camas disponível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Lúcio Torres</author>
  </authors>
  <commentList>
    <comment ref="F1" authorId="0" shapeId="0" xr:uid="{510DA0EC-E7EA-433F-A2B2-4CE0BAB8951D}">
      <text>
        <r>
          <rPr>
            <sz val="9"/>
            <color indexed="81"/>
            <rFont val="Segoe UI"/>
            <family val="2"/>
          </rPr>
          <t>Deve condizer com o número de banheiros/lavabo</t>
        </r>
      </text>
    </comment>
    <comment ref="G1" authorId="0" shapeId="0" xr:uid="{DAA2F60E-B37D-40E2-ABD6-80869385FCD9}">
      <text>
        <r>
          <rPr>
            <sz val="9"/>
            <color indexed="81"/>
            <rFont val="Segoe UI"/>
            <family val="2"/>
          </rPr>
          <t>Deve condizer com o número de banheiros/lavabo</t>
        </r>
      </text>
    </comment>
    <comment ref="H1" authorId="0" shapeId="0" xr:uid="{D5A508CA-8E36-4807-A5DA-0BBF0C69AFF4}">
      <text>
        <r>
          <rPr>
            <sz val="9"/>
            <color indexed="81"/>
            <rFont val="Segoe UI"/>
            <family val="2"/>
          </rPr>
          <t>Necessidade?</t>
        </r>
      </text>
    </comment>
    <comment ref="I1" authorId="0" shapeId="0" xr:uid="{241370B6-DA7A-4E30-9283-592B8B1C4812}">
      <text>
        <r>
          <rPr>
            <sz val="9"/>
            <color indexed="81"/>
            <rFont val="Segoe UI"/>
            <family val="2"/>
          </rPr>
          <t>1 toalha por hóspede</t>
        </r>
      </text>
    </comment>
    <comment ref="J1" authorId="0" shapeId="0" xr:uid="{91E29296-0132-4C93-9951-4A4F5E71E6FF}">
      <text>
        <r>
          <rPr>
            <sz val="9"/>
            <color indexed="81"/>
            <rFont val="Segoe UI"/>
            <family val="2"/>
          </rPr>
          <t>Item necessário, pelo menos 1</t>
        </r>
      </text>
    </comment>
    <comment ref="K1" authorId="0" shapeId="0" xr:uid="{FB0022B5-1638-4BCB-8435-CE5193766771}">
      <text>
        <r>
          <rPr>
            <sz val="9"/>
            <color indexed="81"/>
            <rFont val="Segoe UI"/>
            <family val="2"/>
          </rPr>
          <t>Item necessário, pelo menos 1</t>
        </r>
      </text>
    </comment>
    <comment ref="L1" authorId="0" shapeId="0" xr:uid="{D3F5D195-7811-4BAA-8786-E0190928A43E}">
      <text>
        <r>
          <rPr>
            <sz val="9"/>
            <color indexed="81"/>
            <rFont val="Segoe UI"/>
            <family val="2"/>
          </rPr>
          <t>Se houver cama queen size</t>
        </r>
      </text>
    </comment>
    <comment ref="M1" authorId="0" shapeId="0" xr:uid="{DF0A203E-100B-475B-997C-46DC440450F1}">
      <text>
        <r>
          <rPr>
            <sz val="9"/>
            <color indexed="81"/>
            <rFont val="Segoe UI"/>
            <family val="2"/>
          </rPr>
          <t>1 por cama
Não foi considerado sofá cama</t>
        </r>
      </text>
    </comment>
    <comment ref="N1" authorId="0" shapeId="0" xr:uid="{2FFEB3FA-13C2-4112-99B8-9E3FC440A78A}">
      <text>
        <r>
          <rPr>
            <sz val="9"/>
            <color indexed="81"/>
            <rFont val="Segoe UI"/>
            <family val="2"/>
          </rPr>
          <t>Deve condizer com o número de camas Queen Size em seu respectivo site</t>
        </r>
      </text>
    </comment>
    <comment ref="O1" authorId="0" shapeId="0" xr:uid="{86D60A1F-AE10-4E44-9934-7D2B96E29134}">
      <text>
        <r>
          <rPr>
            <sz val="9"/>
            <color indexed="81"/>
            <rFont val="Segoe UI"/>
            <family val="2"/>
          </rPr>
          <t>Deve condizer com o número de camas King Size em seu respectivo site</t>
        </r>
      </text>
    </comment>
    <comment ref="P1" authorId="0" shapeId="0" xr:uid="{0153BFDD-932F-4DBD-9FFC-1513C52EE910}">
      <text>
        <r>
          <rPr>
            <sz val="9"/>
            <color indexed="81"/>
            <rFont val="Segoe UI"/>
            <family val="2"/>
          </rPr>
          <t>Deve condizer com o número de camas de casal em seu respectivo site. Não foi considerado sofá cama de casal</t>
        </r>
      </text>
    </comment>
    <comment ref="Q1" authorId="0" shapeId="0" xr:uid="{CF9B6ACB-BFB6-4739-B05C-DDB44099039B}">
      <text>
        <r>
          <rPr>
            <sz val="9"/>
            <color indexed="81"/>
            <rFont val="Segoe UI"/>
            <family val="2"/>
          </rPr>
          <t>Deve condizer com o número de hóspedes e travesseiros em seu respectivo site. Neste caso, comparado com o número de hóspedes</t>
        </r>
      </text>
    </comment>
    <comment ref="R1" authorId="0" shapeId="0" xr:uid="{0E3B31AF-CBB2-4AD1-9602-A5425CF2A120}">
      <text>
        <r>
          <rPr>
            <sz val="9"/>
            <color indexed="81"/>
            <rFont val="Segoe UI"/>
            <family val="2"/>
          </rPr>
          <t>Deve condizer com o número de camas solteiras em seu respectivo site. Não foi considerado o sofá cama</t>
        </r>
      </text>
    </comment>
    <comment ref="S1" authorId="0" shapeId="0" xr:uid="{EC265777-ED0F-453C-B56B-0B5260053A84}">
      <text>
        <r>
          <rPr>
            <sz val="9"/>
            <color indexed="81"/>
            <rFont val="Segoe UI"/>
            <family val="2"/>
          </rPr>
          <t>Deve condizer com o número de camas Queen Size em seu respectivo site</t>
        </r>
      </text>
    </comment>
    <comment ref="T1" authorId="0" shapeId="0" xr:uid="{7489E84D-C222-4456-8A9B-8ADC4BE9BC06}">
      <text>
        <r>
          <rPr>
            <sz val="9"/>
            <color indexed="81"/>
            <rFont val="Segoe UI"/>
            <family val="2"/>
          </rPr>
          <t>Deve condizer com o número de camas King Size em seu respectivo site</t>
        </r>
      </text>
    </comment>
    <comment ref="U1" authorId="0" shapeId="0" xr:uid="{AF015486-9D3E-45E8-BB54-3C9E07087B7E}">
      <text>
        <r>
          <rPr>
            <sz val="9"/>
            <color indexed="81"/>
            <rFont val="Segoe UI"/>
            <family val="2"/>
          </rPr>
          <t>1 por cama
Não foi considerado sofá cama</t>
        </r>
      </text>
    </comment>
    <comment ref="F16" authorId="0" shapeId="0" xr:uid="{B8DB1A4B-86AA-40D8-AFAC-CB306E0E7396}">
      <text>
        <r>
          <rPr>
            <sz val="9"/>
            <color indexed="81"/>
            <rFont val="Segoe UI"/>
            <family val="2"/>
          </rPr>
          <t>Sem toalha?</t>
        </r>
      </text>
    </comment>
    <comment ref="G16" authorId="0" shapeId="0" xr:uid="{688851D6-1BCB-4FED-AA73-11E283B270DB}">
      <text>
        <r>
          <rPr>
            <sz val="9"/>
            <color indexed="81"/>
            <rFont val="Segoe UI"/>
            <family val="2"/>
          </rPr>
          <t>Sem toalha?</t>
        </r>
      </text>
    </comment>
    <comment ref="F18" authorId="0" shapeId="0" xr:uid="{E6829F9F-4CA1-4BF6-9EA6-E4F945B008E7}">
      <text>
        <r>
          <rPr>
            <sz val="9"/>
            <color indexed="81"/>
            <rFont val="Segoe UI"/>
            <family val="2"/>
          </rPr>
          <t>Sem toalha?</t>
        </r>
      </text>
    </comment>
    <comment ref="G18" authorId="0" shapeId="0" xr:uid="{ECBB7532-5863-4911-AD68-9CA1C0D56C2D}">
      <text>
        <r>
          <rPr>
            <sz val="9"/>
            <color indexed="81"/>
            <rFont val="Segoe UI"/>
            <family val="2"/>
          </rPr>
          <t>Sem toalha?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<sst xmlns="http://schemas.openxmlformats.org/spreadsheetml/2006/main" count="1658" uniqueCount="324">
  <si>
    <t>Code</t>
  </si>
  <si>
    <t>Taxa de limpeza</t>
  </si>
  <si>
    <t>OKA101</t>
  </si>
  <si>
    <t>OKA102</t>
  </si>
  <si>
    <t>OKA105</t>
  </si>
  <si>
    <t>OKA106</t>
  </si>
  <si>
    <t>OKA110</t>
  </si>
  <si>
    <t>OKA111</t>
  </si>
  <si>
    <t>OKA114</t>
  </si>
  <si>
    <t>OKA115</t>
  </si>
  <si>
    <t>OKA120</t>
  </si>
  <si>
    <t>OKA121</t>
  </si>
  <si>
    <t>OKA123</t>
  </si>
  <si>
    <t>OKA124</t>
  </si>
  <si>
    <t>OKA125</t>
  </si>
  <si>
    <t>OKA128</t>
  </si>
  <si>
    <t>OKA131</t>
  </si>
  <si>
    <t>OKA134</t>
  </si>
  <si>
    <t>OKA135</t>
  </si>
  <si>
    <t>OKA139</t>
  </si>
  <si>
    <t>OKA141</t>
  </si>
  <si>
    <t>OKA142</t>
  </si>
  <si>
    <t>OKA204</t>
  </si>
  <si>
    <t>OKA205</t>
  </si>
  <si>
    <t>OKA206</t>
  </si>
  <si>
    <t>OKA210</t>
  </si>
  <si>
    <t>OKA213</t>
  </si>
  <si>
    <t>OKA216</t>
  </si>
  <si>
    <t>OKA224</t>
  </si>
  <si>
    <t>OKA233</t>
  </si>
  <si>
    <t>OKA236</t>
  </si>
  <si>
    <t>OKA239</t>
  </si>
  <si>
    <t>Cidade</t>
  </si>
  <si>
    <t>Toalha de rosto</t>
  </si>
  <si>
    <t>Toalha de piso</t>
  </si>
  <si>
    <t>Toalha de banho</t>
  </si>
  <si>
    <t>Fronha</t>
  </si>
  <si>
    <t>Lençol solteiro</t>
  </si>
  <si>
    <t>Lençol casal</t>
  </si>
  <si>
    <t>Lençol queen size</t>
  </si>
  <si>
    <t>Lençol king size</t>
  </si>
  <si>
    <t>Manta queen size</t>
  </si>
  <si>
    <t>Edredom solteiro</t>
  </si>
  <si>
    <t>Edredom casal</t>
  </si>
  <si>
    <t>Edredom queen size</t>
  </si>
  <si>
    <t>Edredom king size</t>
  </si>
  <si>
    <t>Capa edredom solteiro</t>
  </si>
  <si>
    <t>Capa edredom casal</t>
  </si>
  <si>
    <t>Capa edredom queen size</t>
  </si>
  <si>
    <t>Capa edredom king size</t>
  </si>
  <si>
    <t>Cobertor queen size</t>
  </si>
  <si>
    <t>Pano de prato</t>
  </si>
  <si>
    <t>Pano de pia</t>
  </si>
  <si>
    <t>Toalha de maquiagem</t>
  </si>
  <si>
    <t>Goiânia</t>
  </si>
  <si>
    <t>Brasília</t>
  </si>
  <si>
    <t>Caldas Novas</t>
  </si>
  <si>
    <t>Águas Claras</t>
  </si>
  <si>
    <t>Anitápolis</t>
  </si>
  <si>
    <t>Pirenópolis</t>
  </si>
  <si>
    <t>Hidrolândia</t>
  </si>
  <si>
    <t>Guará</t>
  </si>
  <si>
    <t>Cabo Frio</t>
  </si>
  <si>
    <t/>
  </si>
  <si>
    <t>Petrópolis</t>
  </si>
  <si>
    <t>Bombinhas</t>
  </si>
  <si>
    <t>Gramado</t>
  </si>
  <si>
    <t>Balneário Camboriú</t>
  </si>
  <si>
    <t>Itajaí</t>
  </si>
  <si>
    <t>Garopaba</t>
  </si>
  <si>
    <t>Imbituba</t>
  </si>
  <si>
    <t>Camboriú</t>
  </si>
  <si>
    <t>Canela</t>
  </si>
  <si>
    <t>São Paulo</t>
  </si>
  <si>
    <t>Camaçari</t>
  </si>
  <si>
    <t>Ubatuba</t>
  </si>
  <si>
    <t>Armação dos Búzios</t>
  </si>
  <si>
    <t>Urubici</t>
  </si>
  <si>
    <t>Maceió</t>
  </si>
  <si>
    <t>Porto Seguro</t>
  </si>
  <si>
    <t>Poços de Caldas</t>
  </si>
  <si>
    <t>Ilhéus</t>
  </si>
  <si>
    <t>Santa Cruz Cabrália</t>
  </si>
  <si>
    <t>Joinville</t>
  </si>
  <si>
    <t>Santos</t>
  </si>
  <si>
    <t>Balneário Piçarras</t>
  </si>
  <si>
    <t>Barra Velha</t>
  </si>
  <si>
    <t>Penha</t>
  </si>
  <si>
    <t>Mata de São João</t>
  </si>
  <si>
    <t>Porto de Pedras</t>
  </si>
  <si>
    <t>São Miguel dos Milagres</t>
  </si>
  <si>
    <t>Blumenau</t>
  </si>
  <si>
    <t>Passo de Camaragibe</t>
  </si>
  <si>
    <t>João Pessoa</t>
  </si>
  <si>
    <t>Maraú</t>
  </si>
  <si>
    <t>Florianópolis</t>
  </si>
  <si>
    <t>Itacaré</t>
  </si>
  <si>
    <t>Salvador</t>
  </si>
  <si>
    <t>Itapema</t>
  </si>
  <si>
    <t>Tijucas</t>
  </si>
  <si>
    <t>Porto Belo</t>
  </si>
  <si>
    <t>Indaial</t>
  </si>
  <si>
    <t>Trancoso</t>
  </si>
  <si>
    <t>Porto Alegre</t>
  </si>
  <si>
    <t>Campos do Jordão</t>
  </si>
  <si>
    <t>Guarapari</t>
  </si>
  <si>
    <t>Curitiba</t>
  </si>
  <si>
    <t>Recife</t>
  </si>
  <si>
    <t>Item</t>
  </si>
  <si>
    <t>Peso aprox (kg)</t>
  </si>
  <si>
    <t>Numero de Quartos</t>
  </si>
  <si>
    <t>Valor</t>
  </si>
  <si>
    <t>2 Quarto</t>
  </si>
  <si>
    <t>3 Quarto</t>
  </si>
  <si>
    <t>4 Quarto</t>
  </si>
  <si>
    <t>5 Quarto</t>
  </si>
  <si>
    <t>6 Quarto</t>
  </si>
  <si>
    <t>7 Quarto</t>
  </si>
  <si>
    <t>8 Quarto</t>
  </si>
  <si>
    <t>local</t>
  </si>
  <si>
    <t>iten</t>
  </si>
  <si>
    <t>valor</t>
  </si>
  <si>
    <t>quantidade por banheiro/lavabo</t>
  </si>
  <si>
    <t>total</t>
  </si>
  <si>
    <t>Banheiro</t>
  </si>
  <si>
    <t>Sabonete</t>
  </si>
  <si>
    <t>Papel Higiênico</t>
  </si>
  <si>
    <t>shampoo</t>
  </si>
  <si>
    <t>condicionador</t>
  </si>
  <si>
    <t>Lavabo</t>
  </si>
  <si>
    <t>quantidade por imóvel</t>
  </si>
  <si>
    <t>Esponja</t>
  </si>
  <si>
    <t>Detergente</t>
  </si>
  <si>
    <t>Pano de louça</t>
  </si>
  <si>
    <t>Pano de chão</t>
  </si>
  <si>
    <t>Desinfetante</t>
  </si>
  <si>
    <t>Água sanitária</t>
  </si>
  <si>
    <t>Multiuso</t>
  </si>
  <si>
    <t>code</t>
  </si>
  <si>
    <t>neighborhood</t>
  </si>
  <si>
    <t>city</t>
  </si>
  <si>
    <t>state</t>
  </si>
  <si>
    <t>status</t>
  </si>
  <si>
    <t>Camas de solteiro</t>
  </si>
  <si>
    <t>Cama de casal</t>
  </si>
  <si>
    <t>Cama Queen</t>
  </si>
  <si>
    <t>Cama King</t>
  </si>
  <si>
    <t>Sofa Cama Solteiro</t>
  </si>
  <si>
    <t>Sofa Cama Casal</t>
  </si>
  <si>
    <t>Travesseiros</t>
  </si>
  <si>
    <t>Numero Quartos</t>
  </si>
  <si>
    <t>Numero Banheiros</t>
  </si>
  <si>
    <t>Numero Lavabos</t>
  </si>
  <si>
    <t>Numero Hóspedes</t>
  </si>
  <si>
    <t>Campeche</t>
  </si>
  <si>
    <t>SC</t>
  </si>
  <si>
    <t>Active</t>
  </si>
  <si>
    <t>Colcha solteiro</t>
  </si>
  <si>
    <t>Colcha queen size</t>
  </si>
  <si>
    <t>Colcha casal</t>
  </si>
  <si>
    <t>Número Camas Solteiro</t>
  </si>
  <si>
    <t>Número Camas Casal</t>
  </si>
  <si>
    <t>Deficiência</t>
  </si>
  <si>
    <t>Possível melhoria</t>
  </si>
  <si>
    <t>ITENS ESTOQUES POR IMÓVEL</t>
  </si>
  <si>
    <t>1 Quarto</t>
  </si>
  <si>
    <t>Fórmula Final</t>
  </si>
  <si>
    <t>Legenda:</t>
  </si>
  <si>
    <t>Taxa de Limpeza</t>
  </si>
  <si>
    <t>Peso [Kg]</t>
  </si>
  <si>
    <t>Valor por lavanderia [R$/Kg]</t>
  </si>
  <si>
    <t>Quantidade Estoque [UND]</t>
  </si>
  <si>
    <t>Custo [R$]</t>
  </si>
  <si>
    <t>Proposta de cálculo da taxa de limpeza - Seazone</t>
  </si>
  <si>
    <t>=SOMA(F3:AC3;AD3:AG3;AH3:AN3;AO3:AV3)*1,1</t>
  </si>
  <si>
    <t>=SOMA(E4:AB4;AC4:AF4;AG4:AM4;AN4:AU4)*1,1</t>
  </si>
  <si>
    <t>=SOMA(E5:AB5;AC5:AF5;AG5:AM5;AN5:AU5)*1,1</t>
  </si>
  <si>
    <t>=SOMA(E6:AB6;AC6:AF6;AG6:AM6;AN6:AU6)*1,1</t>
  </si>
  <si>
    <t>=SOMA(E7:AB7;AC7:AF7;AG7:AM7;AN7:AU7)*1,1</t>
  </si>
  <si>
    <t>=SOMA(E8:AB8;AC8:AF8;AG8:AM8;AN8:AU8)*1,1</t>
  </si>
  <si>
    <t>=SOMA(E9:AB9;AC9:AF9;AG9:AM9;AN9:AU9)*1,1</t>
  </si>
  <si>
    <t>=SOMA(E10:AB10;AC10:AF10;AG10:AM10;AN10:AU10)*1,1</t>
  </si>
  <si>
    <t>=SOMA(E11:AB11;AC11:AF11;AG11:AM11;AN11:AU11)*1,1</t>
  </si>
  <si>
    <t>=SOMA(E12:AB12;AC12:AF12;AG12:AM12;AN12:AU12)*1,1</t>
  </si>
  <si>
    <t>=SOMA(E13:AB13;AC13:AF13;AG13:AM13;AN13:AU13)*1,1</t>
  </si>
  <si>
    <t>=SOMA(E14:AB14;AC14:AF14;AG14:AM14;AN14:AU14)*1,1</t>
  </si>
  <si>
    <t>=SOMA(E15:AB15;AC15:AF15;AG15:AM15;AN15:AU15)*1,1</t>
  </si>
  <si>
    <t>=SOMA(E16:AB16;AC16:AF16;AG16:AM16;AN16:AU16)*1,1</t>
  </si>
  <si>
    <t>=SOMA(E17:AB17;AC17:AF17;AG17:AM17;AN17:AU17)*1,1</t>
  </si>
  <si>
    <t>=SOMA(E18:AB18;AC18:AF18;AG18:AM18;AN18:AU18)*1,1</t>
  </si>
  <si>
    <t>=SOMA(E19:AB19;AC19:AF19;AG19:AM19;AN19:AU19)*1,1</t>
  </si>
  <si>
    <t>=SOMA(E20:AB20;AC20:AF20;AG20:AM20;AN20:AU20)*1,1</t>
  </si>
  <si>
    <t>=SOMA(E21:AB21;AC21:AF21;AG21:AM21;AN21:AU21)*1,1</t>
  </si>
  <si>
    <t>=SOMA(E22:AB22;AC22:AF22;AG22:AM22;AN22:AU22)*1,1</t>
  </si>
  <si>
    <t>Legenda (Custos):</t>
  </si>
  <si>
    <t>AMENITIES</t>
  </si>
  <si>
    <t>MATERIAL DE LIMPEZA</t>
  </si>
  <si>
    <t>MÃO DE OBRA (DIARISTA)</t>
  </si>
  <si>
    <t>Custo total material de limpeza [R$]</t>
  </si>
  <si>
    <t>Bairro</t>
  </si>
  <si>
    <t>Estado</t>
  </si>
  <si>
    <t>Ativo</t>
  </si>
  <si>
    <t>ID</t>
  </si>
  <si>
    <t>Valor por lavanderia [R$/Kg]2</t>
  </si>
  <si>
    <t>Custo [R$]2</t>
  </si>
  <si>
    <t>Valor por lavanderia [R$/Kg]3</t>
  </si>
  <si>
    <t>Peso [Kg]2</t>
  </si>
  <si>
    <t>Custo [R$]4</t>
  </si>
  <si>
    <t>Quantidade Estoque [UND]2</t>
  </si>
  <si>
    <t>Peso [Kg]3</t>
  </si>
  <si>
    <t>Valor por lavanderia [R$/Kg]4</t>
  </si>
  <si>
    <t>Custo [R$]5</t>
  </si>
  <si>
    <t>Quantidade Estoque [UND]6</t>
  </si>
  <si>
    <t>Peso [Kg]7</t>
  </si>
  <si>
    <t>Valor por lavanderia [R$/Kg]8</t>
  </si>
  <si>
    <t>Custo [R$]9</t>
  </si>
  <si>
    <t>Quantidade Estoque [UND]10</t>
  </si>
  <si>
    <t>Peso [Kg]11</t>
  </si>
  <si>
    <t>Valor por lavanderia [R$/Kg]12</t>
  </si>
  <si>
    <t>Custo [R$]13</t>
  </si>
  <si>
    <t>Quantidade Estoque [UND]14</t>
  </si>
  <si>
    <t>Peso [Kg]15</t>
  </si>
  <si>
    <t>Valor por lavanderia [R$/Kg]16</t>
  </si>
  <si>
    <t>Custo [R$]17</t>
  </si>
  <si>
    <t>Quantidade Estoque [UND]18</t>
  </si>
  <si>
    <t>Peso [Kg]19</t>
  </si>
  <si>
    <t>Valor por lavanderia [R$/Kg]20</t>
  </si>
  <si>
    <t>Custo [R$]21</t>
  </si>
  <si>
    <t>Quantidade Estoque [UND]22</t>
  </si>
  <si>
    <t>Peso [Kg]23</t>
  </si>
  <si>
    <t>Valor por lavanderia [R$/Kg]24</t>
  </si>
  <si>
    <t>Custo [R$]25</t>
  </si>
  <si>
    <t>Quantidade Estoque [UND]26</t>
  </si>
  <si>
    <t>Peso [Kg]27</t>
  </si>
  <si>
    <t>Valor por lavanderia [R$/Kg]28</t>
  </si>
  <si>
    <t>Custo [R$]29</t>
  </si>
  <si>
    <t>Quantidade Estoque [UND]30</t>
  </si>
  <si>
    <t>Peso [Kg]31</t>
  </si>
  <si>
    <t>Valor por lavanderia [R$/Kg]32</t>
  </si>
  <si>
    <t>Custo [R$]33</t>
  </si>
  <si>
    <t>Quantidade Estoque [UND]34</t>
  </si>
  <si>
    <t>Peso [Kg]35</t>
  </si>
  <si>
    <t>Valor por lavanderia [R$/Kg]36</t>
  </si>
  <si>
    <t>Custo [R$]37</t>
  </si>
  <si>
    <t>Quantidade Estoque [UND]38</t>
  </si>
  <si>
    <t>Peso [Kg]39</t>
  </si>
  <si>
    <t>Valor por lavanderia [R$/Kg]40</t>
  </si>
  <si>
    <t>Custo [R$]41</t>
  </si>
  <si>
    <t>Quantidade Estoque [UND]42</t>
  </si>
  <si>
    <t>Peso [Kg]43</t>
  </si>
  <si>
    <t>Valor por lavanderia [R$/Kg]44</t>
  </si>
  <si>
    <t>Custo [R$]45</t>
  </si>
  <si>
    <t>Quantidade Estoque [UND]46</t>
  </si>
  <si>
    <t>Peso [Kg]47</t>
  </si>
  <si>
    <t>Valor por lavanderia [R$/Kg]48</t>
  </si>
  <si>
    <t>Custo [R$]49</t>
  </si>
  <si>
    <t>Quantidade Estoque [UND]50</t>
  </si>
  <si>
    <t>Peso [Kg]51</t>
  </si>
  <si>
    <t>Valor por lavanderia [R$/Kg]52</t>
  </si>
  <si>
    <t>Custo [R$]53</t>
  </si>
  <si>
    <t>Quantidade Estoque [UND]54</t>
  </si>
  <si>
    <t>Peso [Kg]55</t>
  </si>
  <si>
    <t>Valor por lavanderia [R$/Kg]56</t>
  </si>
  <si>
    <t>Custo [R$]57</t>
  </si>
  <si>
    <t>Quantidade Estoque [UND]58</t>
  </si>
  <si>
    <t>Peso [Kg]59</t>
  </si>
  <si>
    <t>Valor por lavanderia [R$/Kg]60</t>
  </si>
  <si>
    <t>Custo [R$]61</t>
  </si>
  <si>
    <t>Quantidade Estoque [UND]62</t>
  </si>
  <si>
    <t>Peso [Kg]63</t>
  </si>
  <si>
    <t>Valor por lavanderia [R$/Kg]64</t>
  </si>
  <si>
    <t>Custo [R$]65</t>
  </si>
  <si>
    <t>Quantidade Estoque [UND]66</t>
  </si>
  <si>
    <t>Peso [Kg]67</t>
  </si>
  <si>
    <t>Valor por lavanderia [R$/Kg]68</t>
  </si>
  <si>
    <t>Custo [R$]69</t>
  </si>
  <si>
    <t>Quantidade Estoque [UND]70</t>
  </si>
  <si>
    <t>Peso [Kg]71</t>
  </si>
  <si>
    <t>Valor por lavanderia [R$/Kg]72</t>
  </si>
  <si>
    <t>Custo [R$]73</t>
  </si>
  <si>
    <t>Quantidade Estoque [UND]74</t>
  </si>
  <si>
    <t>Peso [Kg]75</t>
  </si>
  <si>
    <t>Valor por lavanderia [R$/Kg]76</t>
  </si>
  <si>
    <t>Custo [R$]77</t>
  </si>
  <si>
    <t>Quantidade Estoque [UND]78</t>
  </si>
  <si>
    <t>Peso [Kg]79</t>
  </si>
  <si>
    <t>Valor por lavanderia [R$/Kg]80</t>
  </si>
  <si>
    <t>Custo [R$]81</t>
  </si>
  <si>
    <t>Peso [Kg]83</t>
  </si>
  <si>
    <t>Valor por lavanderia [R$/Kg]84</t>
  </si>
  <si>
    <t>Custo [R$]85</t>
  </si>
  <si>
    <t>Peso [Kg]86</t>
  </si>
  <si>
    <t>Custo total de itens em estoque nos imóveis [R$]</t>
  </si>
  <si>
    <t>Custo total Amenities [R$]</t>
  </si>
  <si>
    <t>Custo total diarista por quantidade de quartos [R$]</t>
  </si>
  <si>
    <t>Quantidade Estoque [UND]3</t>
  </si>
  <si>
    <t>Quantidade Estoque [UND]4</t>
  </si>
  <si>
    <t>Quantidade Estoque [UND]5</t>
  </si>
  <si>
    <t>Diferença entre o Taxa Atual e Proposta</t>
  </si>
  <si>
    <t>Margem de segurança proposta</t>
  </si>
  <si>
    <t>Diferença Taxas Com margem</t>
  </si>
  <si>
    <t>Diferença Taxas Sem Margem</t>
  </si>
  <si>
    <t>Ranking de custo dos imóveis</t>
  </si>
  <si>
    <t xml:space="preserve">1º </t>
  </si>
  <si>
    <t xml:space="preserve">2º </t>
  </si>
  <si>
    <t xml:space="preserve">3º </t>
  </si>
  <si>
    <t xml:space="preserve">4º </t>
  </si>
  <si>
    <t xml:space="preserve">5º </t>
  </si>
  <si>
    <t xml:space="preserve">6º </t>
  </si>
  <si>
    <t xml:space="preserve">7º </t>
  </si>
  <si>
    <t xml:space="preserve">8º </t>
  </si>
  <si>
    <t xml:space="preserve">9º </t>
  </si>
  <si>
    <t xml:space="preserve">10º </t>
  </si>
  <si>
    <t xml:space="preserve">11º </t>
  </si>
  <si>
    <t xml:space="preserve">12º </t>
  </si>
  <si>
    <t xml:space="preserve">13º </t>
  </si>
  <si>
    <t xml:space="preserve">14º </t>
  </si>
  <si>
    <t xml:space="preserve">15º </t>
  </si>
  <si>
    <t xml:space="preserve">16º </t>
  </si>
  <si>
    <t xml:space="preserve">17º </t>
  </si>
  <si>
    <t xml:space="preserve">18º </t>
  </si>
  <si>
    <t xml:space="preserve">19º </t>
  </si>
  <si>
    <t xml:space="preserve">20º </t>
  </si>
  <si>
    <t>Percentual: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</si>
</sst>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R$ -416]#,##0.00"/>
    <numFmt numFmtId="165" formatCode="_-* #,##0_-;\-* #,##0_-;_-* &quot;-&quot;??_-;_-@_-"/>
  </numFmts>
  <fonts count="26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10"/>
      <color rgb="FFFFFFFF"/>
      <name val="Arial"/>
    </font>
    <font>
      <sz val="10"/>
      <color theme="1"/>
      <name val="Arial"/>
    </font>
    <font>
      <sz val="9"/>
      <color rgb="FFFFFFFF"/>
      <name val="Menlo"/>
    </font>
    <font>
      <sz val="10"/>
      <color theme="1"/>
      <name val="Arial"/>
      <family val="2"/>
    </font>
    <font>
      <sz val="9"/>
      <color indexed="81"/>
      <name val="Segoe UI"/>
      <family val="2"/>
    </font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b/>
      <sz val="10"/>
      <color rgb="FFFFFFFF"/>
      <name val="Arial"/>
      <family val="2"/>
    </font>
    <font>
      <b/>
      <sz val="10"/>
      <color rgb="FF000000"/>
      <name val="Arial"/>
      <family val="2"/>
      <scheme val="minor"/>
    </font>
    <font>
      <b/>
      <sz val="10"/>
      <color theme="1"/>
      <name val="Arial"/>
      <family val="2"/>
    </font>
    <font>
      <b/>
      <sz val="11"/>
      <color theme="0"/>
      <name val="Arial"/>
      <family val="2"/>
      <scheme val="minor"/>
    </font>
    <font>
      <b/>
      <sz val="9"/>
      <color theme="1"/>
      <name val="Arial"/>
      <family val="2"/>
    </font>
    <font>
      <sz val="10"/>
      <color theme="1"/>
      <name val="Calibri"/>
      <family val="2"/>
    </font>
    <font>
      <b/>
      <sz val="14"/>
      <color rgb="FF000000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9"/>
      <name val="Arial"/>
      <family val="2"/>
    </font>
    <font>
      <b/>
      <sz val="11"/>
      <color rgb="FFFFFFFF"/>
      <name val="Arial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7"/>
      <color theme="1"/>
      <name val="Calibri"/>
      <family val="2"/>
    </font>
    <font>
      <b/>
      <sz val="9"/>
      <name val="Arial"/>
      <family val="2"/>
      <scheme val="minor"/>
    </font>
    <font>
      <sz val="10"/>
      <color theme="0"/>
      <name val="Arial"/>
      <family val="2"/>
      <scheme val="minor"/>
    </font>
    <font>
      <b/>
      <sz val="11"/>
      <color rgb="FF000000"/>
      <name val="Arial"/>
      <family val="2"/>
      <scheme val="minor"/>
    </font>
    <font>
      <sz val="8"/>
      <name val="Aria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EF5D5A"/>
        <bgColor rgb="FFEF5D5A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theme="7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F1E5"/>
        <bgColor indexed="64"/>
      </patternFill>
    </fill>
    <fill>
      <patternFill patternType="solid">
        <fgColor rgb="FFD9F5FF"/>
        <bgColor indexed="64"/>
      </patternFill>
    </fill>
    <fill>
      <patternFill patternType="solid">
        <fgColor rgb="FFB3FFEB"/>
        <bgColor indexed="64"/>
      </patternFill>
    </fill>
    <fill>
      <patternFill patternType="solid">
        <fgColor rgb="FFFFEBEB"/>
        <bgColor indexed="64"/>
      </patternFill>
    </fill>
  </fills>
  <borders count="30">
    <border>
      <left/>
      <right/>
      <top/>
      <bottom/>
      <diagonal/>
    </border>
    <border>
      <left style="thin">
        <color rgb="FFEF5D5A"/>
      </left>
      <right style="thin">
        <color rgb="FFEF5D5A"/>
      </right>
      <top style="thin">
        <color rgb="FFEF5D5A"/>
      </top>
      <bottom style="thin">
        <color rgb="FFEF5D5A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rgb="FFEF5D5A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 style="dashDotDot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otted">
        <color auto="1"/>
      </left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10">
    <xf numFmtId="0" fontId="0" fillId="0" borderId="0" xfId="0" applyFont="1" applyAlignment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/>
    <xf numFmtId="4" fontId="3" fillId="0" borderId="0" xfId="0" applyNumberFormat="1" applyFont="1"/>
    <xf numFmtId="0" fontId="4" fillId="0" borderId="0" xfId="0" applyFont="1" applyAlignment="1">
      <alignment horizontal="left"/>
    </xf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 wrapText="1"/>
    </xf>
    <xf numFmtId="164" fontId="3" fillId="0" borderId="0" xfId="0" applyNumberFormat="1" applyFont="1" applyAlignment="1">
      <alignment vertical="center" wrapText="1"/>
    </xf>
    <xf numFmtId="164" fontId="3" fillId="0" borderId="0" xfId="0" applyNumberFormat="1" applyFont="1" applyAlignment="1">
      <alignment horizontal="right" vertical="center" wrapText="1"/>
    </xf>
    <xf numFmtId="0" fontId="2" fillId="2" borderId="0" xfId="0" applyFont="1" applyFill="1" applyAlignment="1">
      <alignment horizontal="center"/>
    </xf>
    <xf numFmtId="164" fontId="3" fillId="0" borderId="0" xfId="0" applyNumberFormat="1" applyFont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/>
    <xf numFmtId="0" fontId="3" fillId="0" borderId="2" xfId="0" applyFont="1" applyBorder="1" applyAlignment="1"/>
    <xf numFmtId="164" fontId="3" fillId="0" borderId="3" xfId="0" applyNumberFormat="1" applyFont="1" applyBorder="1" applyAlignment="1">
      <alignment horizontal="right"/>
    </xf>
    <xf numFmtId="0" fontId="3" fillId="0" borderId="2" xfId="0" applyFont="1" applyBorder="1" applyAlignment="1">
      <alignment horizontal="center"/>
    </xf>
    <xf numFmtId="164" fontId="3" fillId="0" borderId="0" xfId="0" applyNumberFormat="1" applyFont="1"/>
    <xf numFmtId="0" fontId="3" fillId="0" borderId="2" xfId="0" applyFont="1" applyBorder="1" applyAlignment="1">
      <alignment horizontal="right"/>
    </xf>
    <xf numFmtId="0" fontId="5" fillId="0" borderId="0" xfId="0" applyFont="1"/>
    <xf numFmtId="0" fontId="5" fillId="3" borderId="0" xfId="0" applyFont="1" applyFill="1"/>
    <xf numFmtId="2" fontId="0" fillId="0" borderId="0" xfId="0" applyNumberFormat="1" applyFont="1" applyAlignment="1"/>
    <xf numFmtId="165" fontId="3" fillId="0" borderId="0" xfId="1" applyNumberFormat="1" applyFont="1" applyAlignment="1">
      <alignment vertical="center" wrapText="1"/>
    </xf>
    <xf numFmtId="165" fontId="3" fillId="0" borderId="0" xfId="1" applyNumberFormat="1" applyFont="1" applyAlignment="1">
      <alignment horizontal="right" vertical="center" wrapText="1"/>
    </xf>
    <xf numFmtId="44" fontId="8" fillId="0" borderId="4" xfId="0" quotePrefix="1" applyNumberFormat="1" applyFont="1" applyBorder="1" applyAlignment="1"/>
    <xf numFmtId="43" fontId="10" fillId="0" borderId="4" xfId="1" applyFont="1" applyBorder="1" applyAlignment="1"/>
    <xf numFmtId="43" fontId="10" fillId="0" borderId="0" xfId="1" applyFont="1" applyAlignment="1"/>
    <xf numFmtId="0" fontId="0" fillId="0" borderId="0" xfId="0" applyFont="1" applyBorder="1" applyAlignment="1"/>
    <xf numFmtId="0" fontId="10" fillId="0" borderId="0" xfId="0" applyFont="1" applyAlignment="1"/>
    <xf numFmtId="0" fontId="0" fillId="0" borderId="11" xfId="0" applyFont="1" applyBorder="1" applyAlignment="1"/>
    <xf numFmtId="43" fontId="9" fillId="2" borderId="5" xfId="1" applyFont="1" applyFill="1" applyBorder="1" applyAlignment="1">
      <alignment horizontal="center" vertical="center" wrapText="1"/>
    </xf>
    <xf numFmtId="43" fontId="10" fillId="0" borderId="0" xfId="1" applyFont="1" applyAlignment="1">
      <alignment horizontal="center" vertical="center" wrapText="1"/>
    </xf>
    <xf numFmtId="44" fontId="0" fillId="0" borderId="0" xfId="2" applyFont="1" applyAlignment="1"/>
    <xf numFmtId="0" fontId="14" fillId="0" borderId="0" xfId="0" applyFont="1" applyBorder="1"/>
    <xf numFmtId="0" fontId="14" fillId="0" borderId="12" xfId="0" applyFont="1" applyBorder="1"/>
    <xf numFmtId="44" fontId="14" fillId="10" borderId="21" xfId="2" applyFont="1" applyFill="1" applyBorder="1"/>
    <xf numFmtId="44" fontId="14" fillId="11" borderId="21" xfId="2" applyNumberFormat="1" applyFont="1" applyFill="1" applyBorder="1" applyAlignment="1"/>
    <xf numFmtId="44" fontId="14" fillId="12" borderId="21" xfId="2" applyNumberFormat="1" applyFont="1" applyFill="1" applyBorder="1" applyAlignment="1"/>
    <xf numFmtId="44" fontId="21" fillId="12" borderId="11" xfId="2" applyNumberFormat="1" applyFont="1" applyFill="1" applyBorder="1" applyAlignment="1"/>
    <xf numFmtId="44" fontId="21" fillId="12" borderId="0" xfId="2" applyNumberFormat="1" applyFont="1" applyFill="1" applyBorder="1" applyAlignment="1"/>
    <xf numFmtId="165" fontId="21" fillId="10" borderId="13" xfId="1" applyNumberFormat="1" applyFont="1" applyFill="1" applyBorder="1"/>
    <xf numFmtId="43" fontId="21" fillId="10" borderId="6" xfId="1" applyNumberFormat="1" applyFont="1" applyFill="1" applyBorder="1"/>
    <xf numFmtId="44" fontId="21" fillId="10" borderId="6" xfId="2" applyFont="1" applyFill="1" applyBorder="1"/>
    <xf numFmtId="44" fontId="21" fillId="10" borderId="6" xfId="2" applyNumberFormat="1" applyFont="1" applyFill="1" applyBorder="1"/>
    <xf numFmtId="165" fontId="21" fillId="10" borderId="20" xfId="1" applyNumberFormat="1" applyFont="1" applyFill="1" applyBorder="1"/>
    <xf numFmtId="165" fontId="21" fillId="10" borderId="6" xfId="1" applyNumberFormat="1" applyFont="1" applyFill="1" applyBorder="1"/>
    <xf numFmtId="44" fontId="21" fillId="10" borderId="15" xfId="2" applyNumberFormat="1" applyFont="1" applyFill="1" applyBorder="1"/>
    <xf numFmtId="43" fontId="17" fillId="9" borderId="12" xfId="0" applyNumberFormat="1" applyFont="1" applyFill="1" applyBorder="1" applyAlignment="1">
      <alignment horizontal="center" vertical="center" wrapText="1"/>
    </xf>
    <xf numFmtId="43" fontId="17" fillId="9" borderId="0" xfId="0" applyNumberFormat="1" applyFont="1" applyFill="1" applyBorder="1" applyAlignment="1">
      <alignment horizontal="center" vertical="center" wrapText="1"/>
    </xf>
    <xf numFmtId="43" fontId="17" fillId="9" borderId="11" xfId="0" applyNumberFormat="1" applyFont="1" applyFill="1" applyBorder="1" applyAlignment="1">
      <alignment horizontal="center" vertical="center" wrapText="1"/>
    </xf>
    <xf numFmtId="44" fontId="17" fillId="9" borderId="14" xfId="2" applyFont="1" applyFill="1" applyBorder="1" applyAlignment="1">
      <alignment horizontal="center" vertical="center" wrapText="1"/>
    </xf>
    <xf numFmtId="0" fontId="1" fillId="5" borderId="7" xfId="0" applyFont="1" applyFill="1" applyBorder="1"/>
    <xf numFmtId="0" fontId="0" fillId="4" borderId="7" xfId="0" applyFont="1" applyFill="1" applyBorder="1" applyAlignment="1"/>
    <xf numFmtId="0" fontId="10" fillId="0" borderId="23" xfId="0" applyFont="1" applyBorder="1" applyAlignment="1"/>
    <xf numFmtId="44" fontId="17" fillId="9" borderId="18" xfId="2" applyFont="1" applyFill="1" applyBorder="1" applyAlignment="1">
      <alignment vertical="center" wrapText="1"/>
    </xf>
    <xf numFmtId="43" fontId="17" fillId="9" borderId="18" xfId="0" applyNumberFormat="1" applyFont="1" applyFill="1" applyBorder="1" applyAlignment="1">
      <alignment vertical="center" wrapText="1"/>
    </xf>
    <xf numFmtId="43" fontId="17" fillId="9" borderId="16" xfId="0" applyNumberFormat="1" applyFont="1" applyFill="1" applyBorder="1" applyAlignment="1">
      <alignment vertical="center" wrapText="1"/>
    </xf>
    <xf numFmtId="43" fontId="17" fillId="9" borderId="17" xfId="0" applyNumberFormat="1" applyFont="1" applyFill="1" applyBorder="1" applyAlignment="1">
      <alignment vertical="center" wrapText="1"/>
    </xf>
    <xf numFmtId="43" fontId="17" fillId="9" borderId="22" xfId="0" applyNumberFormat="1" applyFont="1" applyFill="1" applyBorder="1" applyAlignment="1">
      <alignment vertical="center" wrapText="1"/>
    </xf>
    <xf numFmtId="43" fontId="17" fillId="9" borderId="13" xfId="0" applyNumberFormat="1" applyFont="1" applyFill="1" applyBorder="1" applyAlignment="1">
      <alignment horizontal="center" vertical="center" wrapText="1"/>
    </xf>
    <xf numFmtId="43" fontId="17" fillId="9" borderId="6" xfId="0" applyNumberFormat="1" applyFont="1" applyFill="1" applyBorder="1" applyAlignment="1">
      <alignment horizontal="center" vertical="center" wrapText="1"/>
    </xf>
    <xf numFmtId="44" fontId="17" fillId="9" borderId="6" xfId="2" applyFont="1" applyFill="1" applyBorder="1" applyAlignment="1">
      <alignment horizontal="center" vertical="center" wrapText="1"/>
    </xf>
    <xf numFmtId="43" fontId="17" fillId="9" borderId="20" xfId="0" applyNumberFormat="1" applyFont="1" applyFill="1" applyBorder="1" applyAlignment="1">
      <alignment horizontal="center" vertical="center" wrapText="1"/>
    </xf>
    <xf numFmtId="43" fontId="17" fillId="0" borderId="4" xfId="1" applyFont="1" applyFill="1" applyBorder="1" applyAlignment="1">
      <alignment horizontal="center" vertical="center"/>
    </xf>
    <xf numFmtId="43" fontId="22" fillId="0" borderId="0" xfId="1" applyFont="1" applyFill="1" applyAlignment="1">
      <alignment horizontal="center" vertical="center"/>
    </xf>
    <xf numFmtId="43" fontId="0" fillId="0" borderId="11" xfId="1" applyFont="1" applyBorder="1" applyAlignment="1">
      <alignment horizontal="center" wrapText="1"/>
    </xf>
    <xf numFmtId="0" fontId="13" fillId="9" borderId="0" xfId="0" applyFont="1" applyFill="1" applyBorder="1"/>
    <xf numFmtId="43" fontId="18" fillId="2" borderId="25" xfId="0" applyNumberFormat="1" applyFont="1" applyFill="1" applyBorder="1" applyAlignment="1">
      <alignment horizontal="center" vertical="center"/>
    </xf>
    <xf numFmtId="44" fontId="20" fillId="0" borderId="26" xfId="0" applyNumberFormat="1" applyFont="1" applyFill="1" applyBorder="1" applyAlignment="1"/>
    <xf numFmtId="44" fontId="0" fillId="11" borderId="11" xfId="2" applyNumberFormat="1" applyFont="1" applyFill="1" applyBorder="1" applyAlignment="1"/>
    <xf numFmtId="44" fontId="0" fillId="11" borderId="0" xfId="2" applyNumberFormat="1" applyFont="1" applyFill="1" applyBorder="1" applyAlignment="1"/>
    <xf numFmtId="2" fontId="3" fillId="0" borderId="0" xfId="0" applyNumberFormat="1" applyFont="1"/>
    <xf numFmtId="43" fontId="10" fillId="8" borderId="0" xfId="1" applyFont="1" applyFill="1" applyAlignment="1"/>
    <xf numFmtId="44" fontId="14" fillId="13" borderId="0" xfId="2" applyNumberFormat="1" applyFont="1" applyFill="1" applyBorder="1" applyAlignment="1"/>
    <xf numFmtId="44" fontId="16" fillId="13" borderId="7" xfId="2" applyNumberFormat="1" applyFont="1" applyFill="1" applyBorder="1" applyAlignment="1">
      <alignment horizontal="center" vertical="center"/>
    </xf>
    <xf numFmtId="44" fontId="0" fillId="0" borderId="0" xfId="0" applyNumberFormat="1" applyFont="1" applyAlignment="1"/>
    <xf numFmtId="44" fontId="0" fillId="0" borderId="0" xfId="0" applyNumberFormat="1" applyFill="1" applyBorder="1" applyAlignment="1"/>
    <xf numFmtId="44" fontId="0" fillId="0" borderId="23" xfId="0" applyNumberFormat="1" applyFill="1" applyBorder="1" applyAlignment="1"/>
    <xf numFmtId="0" fontId="10" fillId="0" borderId="27" xfId="0" applyFont="1" applyFill="1" applyBorder="1" applyAlignment="1">
      <alignment horizontal="center"/>
    </xf>
    <xf numFmtId="0" fontId="8" fillId="0" borderId="0" xfId="0" quotePrefix="1" applyFont="1" applyAlignment="1"/>
    <xf numFmtId="0" fontId="24" fillId="0" borderId="27" xfId="0" applyFont="1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0" fillId="0" borderId="23" xfId="0" quotePrefix="1" applyFill="1" applyBorder="1" applyAlignment="1">
      <alignment horizontal="left"/>
    </xf>
    <xf numFmtId="9" fontId="23" fillId="8" borderId="28" xfId="3" applyFont="1" applyFill="1" applyBorder="1" applyAlignment="1">
      <alignment horizontal="left"/>
    </xf>
    <xf numFmtId="0" fontId="8" fillId="0" borderId="0" xfId="0" applyFont="1" applyAlignment="1"/>
    <xf numFmtId="0" fontId="0" fillId="0" borderId="0" xfId="0" applyFill="1" applyBorder="1" applyAlignment="1"/>
    <xf numFmtId="44" fontId="8" fillId="0" borderId="0" xfId="2" applyFont="1" applyFill="1" applyBorder="1" applyAlignment="1"/>
    <xf numFmtId="0" fontId="0" fillId="0" borderId="23" xfId="0" applyFill="1" applyBorder="1" applyAlignment="1"/>
    <xf numFmtId="44" fontId="8" fillId="0" borderId="23" xfId="2" applyFont="1" applyFill="1" applyBorder="1" applyAlignment="1"/>
    <xf numFmtId="43" fontId="15" fillId="11" borderId="8" xfId="1" applyFont="1" applyFill="1" applyBorder="1" applyAlignment="1">
      <alignment horizontal="center" vertical="center"/>
    </xf>
    <xf numFmtId="43" fontId="15" fillId="11" borderId="9" xfId="1" applyFont="1" applyFill="1" applyBorder="1" applyAlignment="1">
      <alignment horizontal="center" vertical="center"/>
    </xf>
    <xf numFmtId="43" fontId="15" fillId="11" borderId="10" xfId="1" applyFont="1" applyFill="1" applyBorder="1" applyAlignment="1">
      <alignment horizontal="center" vertical="center"/>
    </xf>
    <xf numFmtId="43" fontId="15" fillId="12" borderId="8" xfId="1" applyFont="1" applyFill="1" applyBorder="1" applyAlignment="1">
      <alignment horizontal="center" vertical="center"/>
    </xf>
    <xf numFmtId="43" fontId="15" fillId="12" borderId="9" xfId="1" applyFont="1" applyFill="1" applyBorder="1" applyAlignment="1">
      <alignment horizontal="center" vertical="center"/>
    </xf>
    <xf numFmtId="43" fontId="15" fillId="12" borderId="10" xfId="1" applyFont="1" applyFill="1" applyBorder="1" applyAlignment="1">
      <alignment horizontal="center" vertical="center"/>
    </xf>
    <xf numFmtId="43" fontId="11" fillId="6" borderId="24" xfId="1" applyFont="1" applyFill="1" applyBorder="1" applyAlignment="1">
      <alignment horizontal="center" vertical="center" wrapText="1"/>
    </xf>
    <xf numFmtId="43" fontId="11" fillId="6" borderId="17" xfId="1" applyFont="1" applyFill="1" applyBorder="1" applyAlignment="1">
      <alignment horizontal="center" vertical="center" wrapText="1"/>
    </xf>
    <xf numFmtId="43" fontId="11" fillId="6" borderId="19" xfId="1" applyFont="1" applyFill="1" applyBorder="1" applyAlignment="1">
      <alignment horizontal="center" vertical="center" wrapText="1"/>
    </xf>
    <xf numFmtId="43" fontId="11" fillId="6" borderId="18" xfId="1" applyFont="1" applyFill="1" applyBorder="1" applyAlignment="1">
      <alignment horizontal="center" vertical="center" wrapText="1"/>
    </xf>
    <xf numFmtId="0" fontId="12" fillId="8" borderId="0" xfId="0" applyFont="1" applyFill="1" applyBorder="1" applyAlignment="1">
      <alignment horizontal="center" vertical="center" wrapText="1"/>
    </xf>
    <xf numFmtId="0" fontId="12" fillId="8" borderId="12" xfId="0" applyFont="1" applyFill="1" applyBorder="1" applyAlignment="1">
      <alignment horizontal="center" vertical="center" wrapText="1"/>
    </xf>
    <xf numFmtId="43" fontId="15" fillId="10" borderId="8" xfId="1" applyFont="1" applyFill="1" applyBorder="1" applyAlignment="1">
      <alignment horizontal="center" vertical="center"/>
    </xf>
    <xf numFmtId="43" fontId="15" fillId="10" borderId="9" xfId="1" applyFont="1" applyFill="1" applyBorder="1" applyAlignment="1">
      <alignment horizontal="center" vertical="center"/>
    </xf>
    <xf numFmtId="43" fontId="15" fillId="10" borderId="10" xfId="1" applyFont="1" applyFill="1" applyBorder="1" applyAlignment="1">
      <alignment horizontal="center" vertical="center"/>
    </xf>
    <xf numFmtId="43" fontId="11" fillId="7" borderId="22" xfId="1" applyFont="1" applyFill="1" applyBorder="1" applyAlignment="1">
      <alignment horizontal="center" vertical="center" wrapText="1"/>
    </xf>
    <xf numFmtId="43" fontId="11" fillId="7" borderId="17" xfId="1" applyFont="1" applyFill="1" applyBorder="1" applyAlignment="1">
      <alignment horizontal="center" vertical="center" wrapText="1"/>
    </xf>
    <xf numFmtId="43" fontId="11" fillId="7" borderId="19" xfId="1" applyFont="1" applyFill="1" applyBorder="1" applyAlignment="1">
      <alignment horizontal="center" vertical="center" wrapText="1"/>
    </xf>
    <xf numFmtId="0" fontId="24" fillId="0" borderId="17" xfId="0" applyFont="1" applyFill="1" applyBorder="1" applyAlignment="1">
      <alignment horizontal="center"/>
    </xf>
    <xf numFmtId="0" fontId="10" fillId="0" borderId="17" xfId="0" applyFont="1" applyFill="1" applyBorder="1" applyAlignment="1">
      <alignment horizontal="center"/>
    </xf>
    <xf numFmtId="0" fontId="10" fillId="0" borderId="29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2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numFmt numFmtId="0" formatCode="General"/>
      <fill>
        <patternFill patternType="solid">
          <fgColor auto="1"/>
          <bgColor rgb="FFC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theme="9"/>
          <bgColor theme="9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EBEB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B3FFEB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B3FFEB"/>
        </patternFill>
      </fill>
      <alignment horizontal="general" vertical="bottom" textRotation="0" wrapText="0" indent="0" justifyLastLine="0" shrinkToFit="0" readingOrder="0"/>
      <border diagonalUp="0" diagonalDown="0">
        <left/>
        <right style="dotted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B3FFEB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B3FFEB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B3FFEB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B3FFEB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B3FFEB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B3FFEB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D9F5FF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D9F5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D9F5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D9F5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D9F5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ashDotDot">
          <color indexed="64"/>
        </left>
        <right style="medium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/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auto="1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35" formatCode="_-* #,##0.00_-;\-* #,##0.00_-;_-* &quot;-&quot;??_-;_-@_-"/>
      <fill>
        <patternFill patternType="solid">
          <fgColor indexed="64"/>
          <bgColor rgb="FFFFF1E5"/>
        </patternFill>
      </fill>
      <border diagonalUp="0" diagonalDown="0">
        <left style="dotted">
          <color indexed="64"/>
        </left>
        <right style="dotted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FFF1E5"/>
        </patternFill>
      </fill>
      <border diagonalUp="0" diagonalDown="0">
        <left style="medium">
          <color indexed="64"/>
        </left>
        <right style="dotted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/>
        <right style="medium">
          <color indexed="64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/>
          <bgColor theme="9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theme="9"/>
          <bgColor theme="9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35" formatCode="_-* #,##0.00_-;\-* #,##0.00_-;_-* &quot;-&quot;??_-;_-@_-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EBEB"/>
      <color rgb="FFFFE7E7"/>
      <color rgb="FFFFF1E5"/>
      <color rgb="FFB3FFEB"/>
      <color rgb="FF75FFDB"/>
      <color rgb="FFD9F5FF"/>
      <color rgb="FFC1EFFF"/>
      <color rgb="FFFFE6D1"/>
      <color rgb="FFFFD9D9"/>
      <color rgb="FF00FA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28575</xdr:rowOff>
        </xdr:from>
        <xdr:to>
          <xdr:col>0</xdr:col>
          <xdr:colOff>1095375</xdr:colOff>
          <xdr:row>0</xdr:row>
          <xdr:rowOff>447675</xdr:rowOff>
        </xdr:to>
        <xdr:sp macro="" textlink="">
          <xdr:nvSpPr>
            <xdr:cNvPr id="18460" name="Button 28" descr="Botão para adicionar Imóveis" hidden="1">
              <a:extLst>
                <a:ext uri="{63B3BB69-23CF-44E3-9099-C40C66FF867C}">
                  <a14:compatExt spid="_x0000_s18460"/>
                </a:ext>
                <a:ext uri="{FF2B5EF4-FFF2-40B4-BE49-F238E27FC236}">
                  <a16:creationId xmlns:a16="http://schemas.microsoft.com/office/drawing/2014/main" id="{00000000-0008-0000-0000-00001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imóvel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C7AF36-B861-43BA-BC33-31667620447D}" name="Tabela1" displayName="Tabela1" ref="A3:DM23" headerRowDxfId="218" dataDxfId="217" tableBorderDxfId="216" dataCellStyle="Moeda">
  <autoFilter ref="A3:DM23" xr:uid="{B8C7AF36-B861-43BA-BC33-31667620447D}"/>
  <tableColumns count="117">
    <tableColumn id="1" xr3:uid="{31F3D77F-6D59-4733-9D43-5AE74A5AF1C4}" name="ID" totalsRowLabel="Total" dataDxfId="215" totalsRowDxfId="214"/>
    <tableColumn id="2" xr3:uid="{2FCBD6ED-81FF-47B4-AB59-BC59E3564F2F}" name="Bairro" dataDxfId="213"/>
    <tableColumn id="3" xr3:uid="{F8F8F824-2384-4F93-B460-D0760CBBD36F}" name="Cidade" dataDxfId="212"/>
    <tableColumn id="4" xr3:uid="{C73F7EBE-ABE4-4360-99CE-D00A36FAD670}" name="Estado" dataDxfId="211"/>
    <tableColumn id="5" xr3:uid="{1F877F95-6A9C-461C-8A99-416D319ABFAE}" name="status" dataDxfId="210"/>
    <tableColumn id="6" xr3:uid="{A166D89C-8A04-4E85-A5A1-109DF932E86E}" name="Quantidade Estoque [UND]" dataDxfId="209" dataCellStyle="Vírgula">
      <calculatedColumnFormula>IFERROR(IF(A4="",0,VLOOKUP(A4,'Estoque-Imóvel'!A:AC,6,FALSE)),"ID não encontrado")</calculatedColumnFormula>
    </tableColumn>
    <tableColumn id="7" xr3:uid="{6E8654C8-9068-4463-AE8C-2AC0A57AFF36}" name="Peso [Kg]" dataDxfId="208" dataCellStyle="Vírgula">
      <calculatedColumnFormula>IF(F4=0,0,IF(F4="ID não encontrado",0,IFERROR(VLOOKUP($F$2,'BD - Itens x Peso'!$A:$B,2,FALSE),"Nome ou Peso não encontrado")))</calculatedColumnFormula>
    </tableColumn>
    <tableColumn id="8" xr3:uid="{7B48B4F8-7EBF-4FA1-814F-E5E1204867D1}" name="Valor por lavanderia [R$/Kg]" dataDxfId="207" dataCellStyle="Moeda">
      <calculatedColumnFormula>IFERROR(IF(C4="","Cidade não foi inserida",IF(F4=0,0,VLOOKUP(C4,'BD - Valor Lavanderia Por Item'!A:R,2,FALSE))),"Cidade não encontrada")</calculatedColumnFormula>
    </tableColumn>
    <tableColumn id="9" xr3:uid="{5F542978-584E-4002-BD15-7C2A18DD4C8D}" name="Custo [R$]" dataDxfId="206" dataCellStyle="Moeda">
      <calculatedColumnFormula>IFERROR(IF(AND('TaxaLimpeza (Proposta)'!$A4&lt;&gt;"", COUNTIF('Configuração-Imóvel'!$A:$A, $A4)&gt;0), H4*G4*F4,"ID não encontrado"),H4)</calculatedColumnFormula>
    </tableColumn>
    <tableColumn id="10" xr3:uid="{24BBB78C-FE53-40C5-8667-8F53EEB73611}" name="Quantidade Estoque [UND]2" dataDxfId="205" dataCellStyle="Vírgula">
      <calculatedColumnFormula>IFERROR(IF(A4="",0,VLOOKUP(A4,'Estoque-Imóvel'!A:AC,7,FALSE)),"ID não encontrado")</calculatedColumnFormula>
    </tableColumn>
    <tableColumn id="11" xr3:uid="{1D357889-2DB2-46CD-B1A1-C7C154834A0D}" name="Peso [Kg]3" dataDxfId="204" dataCellStyle="Vírgula">
      <calculatedColumnFormula>IF(J4=0,0,IF(J4="ID não encontrado",0,IFERROR(VLOOKUP($J$2,'BD - Itens x Peso'!$A:$B,2,FALSE),"Nome ou Peso não encontrado")))</calculatedColumnFormula>
    </tableColumn>
    <tableColumn id="12" xr3:uid="{A374D073-3079-4686-AD9B-30E95E1AC7B3}" name="Valor por lavanderia [R$/Kg]4" dataDxfId="203" dataCellStyle="Moeda">
      <calculatedColumnFormula>IFERROR(IF(C4="","Cidade não foi inserida",IF(J4=0,0,VLOOKUP(C4,'BD - Valor Lavanderia Por Item'!A:R,3,FALSE))),"Cidade não encontrada")</calculatedColumnFormula>
    </tableColumn>
    <tableColumn id="13" xr3:uid="{817A886A-E3E4-474B-AF07-E5F63EC6FD9D}" name="Custo [R$]5" dataDxfId="202" dataCellStyle="Moeda">
      <calculatedColumnFormula>IFERROR(IF(AND('TaxaLimpeza (Proposta)'!$A4&lt;&gt;"", COUNTIF('Configuração-Imóvel'!$A:$A, $A4)&gt;0), L4*K4*J4,"ID não encontrado"),Tabela1[[#This Row],[Valor por lavanderia '[R$/Kg']4]])</calculatedColumnFormula>
    </tableColumn>
    <tableColumn id="14" xr3:uid="{6A9B822D-6E20-417B-A057-A886EA753A6C}" name="Quantidade Estoque [UND]6" dataDxfId="201" dataCellStyle="Vírgula">
      <calculatedColumnFormula>IFERROR(IF(A4="",0,VLOOKUP(A4,'Estoque-Imóvel'!A:AC,8,FALSE)),"ID não encontrado")</calculatedColumnFormula>
    </tableColumn>
    <tableColumn id="15" xr3:uid="{56C921A9-D40B-4AFF-A9BC-F833D315AE99}" name="Peso [Kg]7" dataDxfId="200" dataCellStyle="Vírgula">
      <calculatedColumnFormula>IF(N4=0,0,IF(N4="ID não encontrado",0,IFERROR(VLOOKUP($N$2,'BD - Itens x Peso'!$A:$B,2,FALSE),"Nome ou Peso não encontrado")))</calculatedColumnFormula>
    </tableColumn>
    <tableColumn id="16" xr3:uid="{B30E8418-1A6D-49EA-ACCB-957BC1959057}" name="Valor por lavanderia [R$/Kg]8" dataDxfId="199" dataCellStyle="Moeda">
      <calculatedColumnFormula>IFERROR(IF(C4="","Cidade não foi inserida",IF(N4=0,0,VLOOKUP(C4,'BD - Valor Lavanderia Por Item'!A:R,2,FALSE))),"Cidade não encontrada")</calculatedColumnFormula>
    </tableColumn>
    <tableColumn id="17" xr3:uid="{690D9181-49CD-4A8B-841A-482D198F78C6}" name="Custo [R$]9" dataDxfId="198" dataCellStyle="Moeda">
      <calculatedColumnFormula>IFERROR(IF(AND('TaxaLimpeza (Proposta)'!$A4&lt;&gt;"", COUNTIF('Configuração-Imóvel'!$A:$A, $A4)&gt;0), P4*O4*N4,"ID não encontrado"),Tabela1[[#This Row],[Valor por lavanderia '[R$/Kg']8]])</calculatedColumnFormula>
    </tableColumn>
    <tableColumn id="18" xr3:uid="{A857DC80-D0C9-4467-AD95-1569F9D82E57}" name="Quantidade Estoque [UND]10" dataDxfId="197" dataCellStyle="Vírgula">
      <calculatedColumnFormula>IFERROR(IF(A4="",0,VLOOKUP(A4,'Estoque-Imóvel'!A:AC,9,FALSE)),"ID não encontrado")</calculatedColumnFormula>
    </tableColumn>
    <tableColumn id="19" xr3:uid="{5DD1C5CB-FAF3-4716-98AD-EB16D9188515}" name="Peso [Kg]11" dataDxfId="196" dataCellStyle="Vírgula">
      <calculatedColumnFormula>IF(R4=0,0,IF(R4="ID não encontrado",0,IFERROR(VLOOKUP($R$2,'BD - Itens x Peso'!$A:$B,2,FALSE),"Nome ou Peso não encontrado")))</calculatedColumnFormula>
    </tableColumn>
    <tableColumn id="20" xr3:uid="{D28E0C82-3E54-4E7A-BD49-78ECAAF575CC}" name="Valor por lavanderia [R$/Kg]12" dataDxfId="195" dataCellStyle="Moeda">
      <calculatedColumnFormula>IFERROR(IF(C4="","Cidade não foi inserida",IF(R4=0,0,VLOOKUP(C4,'BD - Valor Lavanderia Por Item'!A:R,4,FALSE))),"Cidade não encontrada")</calculatedColumnFormula>
    </tableColumn>
    <tableColumn id="21" xr3:uid="{A80910E7-AF8D-4BBE-876F-D215B25A63AA}" name="Custo [R$]13" dataDxfId="194" dataCellStyle="Moeda">
      <calculatedColumnFormula>IFERROR(IF(AND('TaxaLimpeza (Proposta)'!$A4&lt;&gt;"", COUNTIF('Configuração-Imóvel'!$A:$A, $A4)&gt;0), T4*S4*R4,"ID não encontrado"),Tabela1[[#This Row],[Valor por lavanderia '[R$/Kg']12]])</calculatedColumnFormula>
    </tableColumn>
    <tableColumn id="22" xr3:uid="{D2B6C094-019E-4505-87D8-2CAF2C576096}" name="Quantidade Estoque [UND]14" dataDxfId="193" dataCellStyle="Vírgula">
      <calculatedColumnFormula>IFERROR(IF(A4="",0,VLOOKUP(A4,'Estoque-Imóvel'!A:AC,10,FALSE)),"ID não encontrado")</calculatedColumnFormula>
    </tableColumn>
    <tableColumn id="23" xr3:uid="{00291338-450D-4213-9B68-4712A196B839}" name="Peso [Kg]15" dataDxfId="192" dataCellStyle="Vírgula">
      <calculatedColumnFormula>IF(V4=0,0,IF(V4="ID não encontrado",0,IFERROR(VLOOKUP($V$2,'BD - Itens x Peso'!$A:$B,2,FALSE),"Nome ou Peso não encontrado")))</calculatedColumnFormula>
    </tableColumn>
    <tableColumn id="24" xr3:uid="{CF35AA5E-43FC-4C54-9CC1-8618670CA245}" name="Valor por lavanderia [R$/Kg]16" dataDxfId="191" dataCellStyle="Moeda">
      <calculatedColumnFormula>IFERROR(IF(C4="","Cidade não foi inserida",IF(V4=0,0,VLOOKUP(C4,'BD - Valor Lavanderia Por Item'!A:R,3,FALSE))),"Cidade não encontrada")</calculatedColumnFormula>
    </tableColumn>
    <tableColumn id="25" xr3:uid="{528C252E-A8B7-414A-87D9-59EBB56C14F2}" name="Custo [R$]17" dataDxfId="190" dataCellStyle="Moeda">
      <calculatedColumnFormula>IFERROR(IF(AND('TaxaLimpeza (Proposta)'!$A4&lt;&gt;"", COUNTIF('Configuração-Imóvel'!$A:$A, $A4)&gt;0), X4*W4*V4,"ID não encontrado"),Tabela1[[#This Row],[Valor por lavanderia '[R$/Kg']16]])</calculatedColumnFormula>
    </tableColumn>
    <tableColumn id="26" xr3:uid="{8CAD63E9-86B4-4530-B334-CA297466E0E3}" name="Quantidade Estoque [UND]18" dataDxfId="189" dataCellStyle="Vírgula">
      <calculatedColumnFormula>IFERROR(IF(A4="",0,VLOOKUP(A4,'Estoque-Imóvel'!A:AC,11,FALSE)),"ID não encontrado")</calculatedColumnFormula>
    </tableColumn>
    <tableColumn id="27" xr3:uid="{035829A7-BCBD-49A2-9C89-6CA67765AEC2}" name="Peso [Kg]19" dataDxfId="188" dataCellStyle="Vírgula">
      <calculatedColumnFormula>IF(Z4=0,0,IF(Z4="ID não encontrado",0,IFERROR(VLOOKUP($Z$2,'BD - Itens x Peso'!$A:$B,2,FALSE),"Nome ou Peso não encontrado")))</calculatedColumnFormula>
    </tableColumn>
    <tableColumn id="28" xr3:uid="{A15B1FD3-EB77-4AE0-9016-2EA98C8061ED}" name="Valor por lavanderia [R$/Kg]20" dataDxfId="187" dataCellStyle="Moeda">
      <calculatedColumnFormula>IFERROR(IF(C4="","Cidade não foi inserida",IF(Z4=0,0,VLOOKUP(C4,'BD - Valor Lavanderia Por Item'!A:R,3,FALSE))),"Cidade não encontrada")</calculatedColumnFormula>
    </tableColumn>
    <tableColumn id="29" xr3:uid="{8032ABA1-9485-4ADC-BB89-3CF93BFE6AD2}" name="Custo [R$]21" dataDxfId="186" dataCellStyle="Moeda">
      <calculatedColumnFormula>IFERROR(IF(AND('TaxaLimpeza (Proposta)'!$A4&lt;&gt;"", COUNTIF('Configuração-Imóvel'!$A:$A, $A4)&gt;0), AB4*AA4*Z4,"ID não encontrado"),Tabela1[[#This Row],[Valor por lavanderia '[R$/Kg']20]])</calculatedColumnFormula>
    </tableColumn>
    <tableColumn id="30" xr3:uid="{A3B37441-0823-4D83-956A-37CBB1F5FED1}" name="Quantidade Estoque [UND]22" dataDxfId="185" dataCellStyle="Vírgula">
      <calculatedColumnFormula>IFERROR(IF(A4="",0,VLOOKUP(A4,'Estoque-Imóvel'!A:AC,12,FALSE)),"ID não encontrado")</calculatedColumnFormula>
    </tableColumn>
    <tableColumn id="31" xr3:uid="{9828470F-39E9-4B8D-A9A5-03F4416F8A09}" name="Peso [Kg]23" dataDxfId="184" dataCellStyle="Vírgula">
      <calculatedColumnFormula>IF(AD4=0,0,IF(AD4="ID não encontrado",0,IFERROR(VLOOKUP($AD$2,'BD - Itens x Peso'!$A:$B,2,FALSE),"Nome ou Peso não encontrado")))</calculatedColumnFormula>
    </tableColumn>
    <tableColumn id="32" xr3:uid="{E6BA21EC-C376-4480-8411-D4DBB5766D22}" name="Valor por lavanderia [R$/Kg]24" dataDxfId="183" dataCellStyle="Moeda">
      <calculatedColumnFormula>IFERROR(IF(C4="","Cidade não foi inserida",IF(AD4=0,0,VLOOKUP(C4,'BD - Valor Lavanderia Por Item'!A:R,9,FALSE))),"Cidade não encontrada")</calculatedColumnFormula>
    </tableColumn>
    <tableColumn id="33" xr3:uid="{CF74C50F-035E-4454-BBFD-42AB138A7D25}" name="Custo [R$]25" dataDxfId="182" dataCellStyle="Moeda">
      <calculatedColumnFormula>IFERROR(IF(AND('TaxaLimpeza (Proposta)'!$A4&lt;&gt;"", COUNTIF('Configuração-Imóvel'!$A:$A, $A4)&gt;0), AF4*AE4*AD4,"ID não encontrado"),Tabela1[[#This Row],[Valor por lavanderia '[R$/Kg']24]])</calculatedColumnFormula>
    </tableColumn>
    <tableColumn id="34" xr3:uid="{6D72F65B-5550-4B8D-B24E-D4F94B621EE1}" name="Quantidade Estoque [UND]26" dataDxfId="181" dataCellStyle="Vírgula">
      <calculatedColumnFormula>IFERROR(IF(A4="",0,VLOOKUP(A4,'Estoque-Imóvel'!A:AC,13,FALSE)),"ID não encontrado")</calculatedColumnFormula>
    </tableColumn>
    <tableColumn id="35" xr3:uid="{E910EA69-FA06-4F52-B0BF-AC6E1FA4E264}" name="Peso [Kg]27" dataDxfId="180" dataCellStyle="Vírgula">
      <calculatedColumnFormula>IF(AH4=0,0,IF(AH4="ID não encontrado",0,IFERROR(VLOOKUP($AH$2,'BD - Itens x Peso'!$A:$B,2,FALSE),"Nome ou Peso não encontrado")))</calculatedColumnFormula>
    </tableColumn>
    <tableColumn id="36" xr3:uid="{02543E28-543D-4E29-925C-888AE00A9302}" name="Valor por lavanderia [R$/Kg]28" dataDxfId="179" dataCellStyle="Moeda">
      <calculatedColumnFormula>IFERROR(IF(C4="","Cidade não foi inserida",IF(AH4=0,0,VLOOKUP(C4,'BD - Valor Lavanderia Por Item'!A:R,6,FALSE))),"Cidade não encontrada")</calculatedColumnFormula>
    </tableColumn>
    <tableColumn id="37" xr3:uid="{E3CA8E12-379E-4632-A051-F2A3B7F7EB37}" name="Custo [R$]29" dataDxfId="178" dataCellStyle="Moeda">
      <calculatedColumnFormula>IFERROR(IF(AND('TaxaLimpeza (Proposta)'!$A4&lt;&gt;"", COUNTIF('Configuração-Imóvel'!$A:$A, $A4)&gt;0), AJ4*AI4*AH4,"ID não encontrado"),Tabela1[[#This Row],[Valor por lavanderia '[R$/Kg']28]])</calculatedColumnFormula>
    </tableColumn>
    <tableColumn id="38" xr3:uid="{8E176C82-7F88-4DEB-94D4-C2BB65C8BAA3}" name="Quantidade Estoque [UND]30" dataDxfId="177" dataCellStyle="Vírgula">
      <calculatedColumnFormula>IFERROR(IF(A4="",0,VLOOKUP(A4,'Estoque-Imóvel'!A:AC,14,FALSE)),"ID não encontrado")</calculatedColumnFormula>
    </tableColumn>
    <tableColumn id="39" xr3:uid="{A1CEF86F-9EBB-46E4-8D83-97335D36E0D2}" name="Peso [Kg]31" dataDxfId="176" dataCellStyle="Vírgula">
      <calculatedColumnFormula>IF(AL4=0,0,IF(AL4="ID não encontrado",0,IFERROR(VLOOKUP($AL$2,'BD - Itens x Peso'!$A:$B,2,FALSE),"Nome ou Peso não encontrado")))</calculatedColumnFormula>
    </tableColumn>
    <tableColumn id="40" xr3:uid="{1EFDCF62-609C-4226-A913-EF552D07655C}" name="Valor por lavanderia [R$/Kg]32" dataDxfId="175" dataCellStyle="Moeda">
      <calculatedColumnFormula>IFERROR(IF(C4="","Cidade não foi inserida",IF(AL4=0,0,VLOOKUP(C4,'BD - Valor Lavanderia Por Item'!A:R,8,FALSE))),"Cidade não encontrada")</calculatedColumnFormula>
    </tableColumn>
    <tableColumn id="41" xr3:uid="{36543E8F-FD93-42A9-A4C7-0681C5C441E1}" name="Custo [R$]33" dataDxfId="174" dataCellStyle="Moeda">
      <calculatedColumnFormula>IFERROR(IF(AND('TaxaLimpeza (Proposta)'!$A4&lt;&gt;"", COUNTIF('Configuração-Imóvel'!$A:$A, $A4)&gt;0), AN4*AM4*AL4,"ID não encontrado"),Tabela1[[#This Row],[Valor por lavanderia '[R$/Kg']32]])</calculatedColumnFormula>
    </tableColumn>
    <tableColumn id="42" xr3:uid="{5096F4C6-83C3-4E19-93F8-728F2D7FCA50}" name="Quantidade Estoque [UND]34" dataDxfId="173" dataCellStyle="Vírgula">
      <calculatedColumnFormula>IFERROR(IF(A4="",0,VLOOKUP(A4,'Estoque-Imóvel'!A:AC,15,FALSE)),"ID não encontrado")</calculatedColumnFormula>
    </tableColumn>
    <tableColumn id="43" xr3:uid="{BACD5D2F-37B6-4318-ACC8-887B490A0ED9}" name="Peso [Kg]35" dataDxfId="172" dataCellStyle="Vírgula">
      <calculatedColumnFormula>IF(AP4=0,0,IF(AP4="ID não encontrado",0,IFERROR(VLOOKUP($AP$2,'BD - Itens x Peso'!$A:$B,2,FALSE),"Nome ou Peso não encontrado")))</calculatedColumnFormula>
    </tableColumn>
    <tableColumn id="44" xr3:uid="{5C399B41-0B1D-4C6D-A147-59B14E5F0185}" name="Valor por lavanderia [R$/Kg]36" dataDxfId="171" dataCellStyle="Moeda">
      <calculatedColumnFormula>IFERROR(IF(C4="","Cidade não foi inserida",IF(AP4=0,0,VLOOKUP(C4,'BD - Valor Lavanderia Por Item'!A:R,8,FALSE))),"Cidade não encontrada")</calculatedColumnFormula>
    </tableColumn>
    <tableColumn id="45" xr3:uid="{2B7DA29D-10B9-482A-BB3D-68A8F4E81689}" name="Custo [R$]37" dataDxfId="170" dataCellStyle="Moeda">
      <calculatedColumnFormula>IFERROR(IF(AND('TaxaLimpeza (Proposta)'!$A4&lt;&gt;"", COUNTIF('Configuração-Imóvel'!$A:$A, $A4)&gt;0), AR4*AQ4*AP4,"ID não encontrado"),Tabela1[[#This Row],[Valor por lavanderia '[R$/Kg']36]])</calculatedColumnFormula>
    </tableColumn>
    <tableColumn id="46" xr3:uid="{D9371C9A-EB59-4105-B753-6F4300594575}" name="Quantidade Estoque [UND]38" dataDxfId="169" dataCellStyle="Vírgula">
      <calculatedColumnFormula>IFERROR(IF(A4="",0,VLOOKUP(A4,'Estoque-Imóvel'!A:AC,16,FALSE)),"ID não encontrado")</calculatedColumnFormula>
    </tableColumn>
    <tableColumn id="47" xr3:uid="{842D16A6-6FB3-4444-9CB3-5E3819AC6799}" name="Peso [Kg]39" dataDxfId="168" dataCellStyle="Vírgula">
      <calculatedColumnFormula>IF(AT4=0,0,IF(AT4="ID não encontrado",0,IFERROR(VLOOKUP($AT$2,'BD - Itens x Peso'!$A:$B,2,FALSE),"Nome ou Peso não encontrado")))</calculatedColumnFormula>
    </tableColumn>
    <tableColumn id="48" xr3:uid="{3993E010-E1BD-409D-9563-CE1870F7DA58}" name="Valor por lavanderia [R$/Kg]40" dataDxfId="167" dataCellStyle="Moeda">
      <calculatedColumnFormula>IFERROR(IF(C4="","Cidade não foi inserida",IF(AT4=0,0,VLOOKUP(C4,'BD - Valor Lavanderia Por Item'!A:R,7,FALSE))),"Cidade não encontrada")</calculatedColumnFormula>
    </tableColumn>
    <tableColumn id="49" xr3:uid="{A5482F0B-2814-48B5-85D4-24E557B0111B}" name="Custo [R$]41" dataDxfId="166" dataCellStyle="Moeda">
      <calculatedColumnFormula>IFERROR(IF(AND('TaxaLimpeza (Proposta)'!$A4&lt;&gt;"", COUNTIF('Configuração-Imóvel'!$A:$A, $A4)&gt;0), AV4*AU4*AT4,"ID não encontrado"),Tabela1[[#This Row],[Valor por lavanderia '[R$/Kg']40]])</calculatedColumnFormula>
    </tableColumn>
    <tableColumn id="50" xr3:uid="{68109E62-0417-44D5-9E08-579268C3393D}" name="Quantidade Estoque [UND]42" dataDxfId="165" dataCellStyle="Vírgula">
      <calculatedColumnFormula>IFERROR(IF(A4="",0,VLOOKUP(A4,'Estoque-Imóvel'!A:AC,17,FALSE)),"Code não encontrado")</calculatedColumnFormula>
    </tableColumn>
    <tableColumn id="51" xr3:uid="{9930F50B-3C7A-4F77-95D8-7F6AAC3C6E3F}" name="Peso [Kg]43" dataDxfId="164" dataCellStyle="Vírgula">
      <calculatedColumnFormula>IF(AX4=0,0,IF(AX4="ID não encontrado",0,IFERROR(VLOOKUP($AX$2,'BD - Itens x Peso'!$A:$B,2,FALSE),"Nome ou Peso não encontrado")))</calculatedColumnFormula>
    </tableColumn>
    <tableColumn id="52" xr3:uid="{6A199028-C6B6-4B04-84FE-47BD2E4F98A4}" name="Valor por lavanderia [R$/Kg]44" dataDxfId="163" dataCellStyle="Moeda">
      <calculatedColumnFormula>IFERROR(IF(C4="","Cidade não foi inserida",IF(AX4=0,0,VLOOKUP(C4,'BD - Valor Lavanderia Por Item'!A:R,5,FALSE))),"Cidade não encontrada")</calculatedColumnFormula>
    </tableColumn>
    <tableColumn id="53" xr3:uid="{F6D49DD7-DF6F-4C07-843F-44D56D0D8616}" name="Custo [R$]45" dataDxfId="162" dataCellStyle="Moeda">
      <calculatedColumnFormula>IFERROR(IF(AND('TaxaLimpeza (Proposta)'!$A4&lt;&gt;"", COUNTIF('Configuração-Imóvel'!$A:$A, $A4)&gt;0), AZ4*AY4*AX4,"ID não encontrado"),Tabela1[[#This Row],[Valor por lavanderia '[R$/Kg']44]])</calculatedColumnFormula>
    </tableColumn>
    <tableColumn id="54" xr3:uid="{5D70AAD0-B449-4F02-A354-6C09BDD9FBAE}" name="Quantidade Estoque [UND]46" dataDxfId="161" dataCellStyle="Vírgula">
      <calculatedColumnFormula>IFERROR(IF(A4="",0,VLOOKUP(A4,'Estoque-Imóvel'!A:AC,18,FALSE)),"ID não encontrado")</calculatedColumnFormula>
    </tableColumn>
    <tableColumn id="55" xr3:uid="{520B52A5-EB98-4944-AE29-DC4595AC49FC}" name="Peso [Kg]47" dataDxfId="160" dataCellStyle="Vírgula">
      <calculatedColumnFormula>IF(BB4=0,0,IF(BB4="ID não encontrado",0,IFERROR(VLOOKUP($BB$2,'BD - Itens x Peso'!$A:$B,2,FALSE),"Nome ou Peso não encontrado")))</calculatedColumnFormula>
    </tableColumn>
    <tableColumn id="56" xr3:uid="{750F22DE-C342-4796-A00A-C5270437F930}" name="Valor por lavanderia [R$/Kg]48" dataDxfId="159" dataCellStyle="Moeda">
      <calculatedColumnFormula>IFERROR(IF(C4="","Cidade não foi inserida",IF(BB4=0,0,VLOOKUP(C4,'BD - Valor Lavanderia Por Item'!A:R,11,FALSE))),"Cidade não encontrada")</calculatedColumnFormula>
    </tableColumn>
    <tableColumn id="57" xr3:uid="{2A3B3EA5-91EC-44FC-930D-845A28657494}" name="Custo [R$]49" dataDxfId="158" dataCellStyle="Moeda">
      <calculatedColumnFormula>IFERROR(IF(AND('TaxaLimpeza (Proposta)'!$A4&lt;&gt;"", COUNTIF('Configuração-Imóvel'!$A:$A, $A4)&gt;0), BD4*BC4*BB4,"ID não encontrado"),Tabela1[[#This Row],[Valor por lavanderia '[R$/Kg']48]])</calculatedColumnFormula>
    </tableColumn>
    <tableColumn id="58" xr3:uid="{13A35388-35DD-42C8-B485-55165B554D09}" name="Quantidade Estoque [UND]50" dataDxfId="157" dataCellStyle="Vírgula">
      <calculatedColumnFormula>IFERROR(IF(A4="",0,VLOOKUP(A4,'Estoque-Imóvel'!A:AC,19,FALSE)),"ID não encontrado")</calculatedColumnFormula>
    </tableColumn>
    <tableColumn id="59" xr3:uid="{C4882ACA-1607-4515-86EB-DA7CCFBAFAF7}" name="Peso [Kg]51" dataDxfId="156" dataCellStyle="Vírgula">
      <calculatedColumnFormula>IF(BF4=0,0,IF(BF4="ID não encontrado",0,IFERROR(VLOOKUP($BF$2,'BD - Itens x Peso'!$A:$B,2,FALSE),"Nome ou Peso não encontrado")))</calculatedColumnFormula>
    </tableColumn>
    <tableColumn id="60" xr3:uid="{87B60943-785E-447E-BFBB-75D91243A086}" name="Valor por lavanderia [R$/Kg]52" dataDxfId="155" dataCellStyle="Moeda">
      <calculatedColumnFormula>IFERROR(IF(C4="","Cidade não foi inserida",IF(BF4=0,0,VLOOKUP(C4,'BD - Valor Lavanderia Por Item'!A:R,13,FALSE))),"Cidade não encontrada")</calculatedColumnFormula>
    </tableColumn>
    <tableColumn id="61" xr3:uid="{3691F62C-902F-490F-B228-85B554A94CE8}" name="Custo [R$]53" dataDxfId="154" dataCellStyle="Moeda">
      <calculatedColumnFormula>IFERROR(IF(AND('TaxaLimpeza (Proposta)'!$A4&lt;&gt;"", COUNTIF('Configuração-Imóvel'!$A:$A, $A4)&gt;0), BH4*BG4*BF4,"ID não encontrado"),Tabela1[[#This Row],[Valor por lavanderia '[R$/Kg']52]])</calculatedColumnFormula>
    </tableColumn>
    <tableColumn id="62" xr3:uid="{D235BCFB-4AB3-48E2-82B1-DA6352186438}" name="Quantidade Estoque [UND]54" dataDxfId="153" dataCellStyle="Vírgula">
      <calculatedColumnFormula>IFERROR(IF(A4="",0,VLOOKUP(A4,'Estoque-Imóvel'!A:AC,20,FALSE)),"ID não encontrado")</calculatedColumnFormula>
    </tableColumn>
    <tableColumn id="63" xr3:uid="{DD5382BC-9362-4EEB-AAA3-353D3C2D1E83}" name="Peso [Kg]55" dataDxfId="152" dataCellStyle="Vírgula">
      <calculatedColumnFormula>IF(BJ4=0,0,IF(BJ4="ID não encontrado",0,IFERROR(VLOOKUP($BJ$2,'BD - Itens x Peso'!$A:$B,2,FALSE),"Nome ou Peso não encontrado")))</calculatedColumnFormula>
    </tableColumn>
    <tableColumn id="64" xr3:uid="{A506B001-7F25-4F46-8A68-9DCB5DFE70C8}" name="Valor por lavanderia [R$/Kg]56" dataDxfId="151" dataCellStyle="Moeda">
      <calculatedColumnFormula>IFERROR(IF(C4="","Cidade não foi inserida",IF(BJ4=0,0,VLOOKUP(C4,'BD - Valor Lavanderia Por Item'!A:R,13,FALSE))),"Cidade não encontrada")</calculatedColumnFormula>
    </tableColumn>
    <tableColumn id="65" xr3:uid="{FAE66AA0-0EB0-4B23-9C1E-A60DF93D4A45}" name="Custo [R$]57" dataDxfId="150" dataCellStyle="Moeda">
      <calculatedColumnFormula>IFERROR(IF(AND('TaxaLimpeza (Proposta)'!$A4&lt;&gt;"", COUNTIF('Configuração-Imóvel'!$A:$A, $A4)&gt;0), BL4*BK4*BJ4,"ID não encontrado"),Tabela1[[#This Row],[Valor por lavanderia '[R$/Kg']56]])</calculatedColumnFormula>
    </tableColumn>
    <tableColumn id="66" xr3:uid="{AC29E504-0726-43BB-9301-CAABCD54FE56}" name="Quantidade Estoque [UND]58" dataDxfId="149" dataCellStyle="Vírgula">
      <calculatedColumnFormula>IFERROR(IF(A4="",0,VLOOKUP(A4,'Estoque-Imóvel'!A:AC,21,FALSE)),"ID não encontrado")</calculatedColumnFormula>
    </tableColumn>
    <tableColumn id="67" xr3:uid="{F3567D7B-FBF0-4D88-A67B-446FFCA2DB16}" name="Peso [Kg]59" dataDxfId="148" dataCellStyle="Vírgula">
      <calculatedColumnFormula>IF(BN4=0,0,IF(BN4="ID não encontrado",0,IFERROR(VLOOKUP($BN$2,'BD - Itens x Peso'!$A:$B,2,FALSE),"Nome ou Peso não encontrado")))</calculatedColumnFormula>
    </tableColumn>
    <tableColumn id="68" xr3:uid="{E1C8DDF5-64D4-4439-810B-13D4306DD1A2}" name="Valor por lavanderia [R$/Kg]60" dataDxfId="147" dataCellStyle="Moeda">
      <calculatedColumnFormula>IFERROR(IF(C4="","Cidade não foi inserida",IF(BN4=0,0,VLOOKUP(C4,'BD - Valor Lavanderia Por Item'!A:R,13,FALSE))),"Cidade não encontrada")</calculatedColumnFormula>
    </tableColumn>
    <tableColumn id="69" xr3:uid="{A83CB52E-61C4-4D73-AEB1-B6D2EBBADEE9}" name="Custo [R$]61" dataDxfId="146" dataCellStyle="Moeda">
      <calculatedColumnFormula>IFERROR(IF(AND('TaxaLimpeza (Proposta)'!$A4&lt;&gt;"", COUNTIF('Configuração-Imóvel'!$A:$A, $A4)&gt;0), BP4*BO4*BN4,"ID não encontrado"),Tabela1[[#This Row],[Valor por lavanderia '[R$/Kg']60]])</calculatedColumnFormula>
    </tableColumn>
    <tableColumn id="70" xr3:uid="{82A47D82-4923-4857-87B3-DB20382405BE}" name="Quantidade Estoque [UND]62" dataDxfId="145" dataCellStyle="Vírgula">
      <calculatedColumnFormula>IFERROR(IF(A4="",0,VLOOKUP(A4,'Estoque-Imóvel'!A:AC,22,FALSE)),"ID não encontrado")</calculatedColumnFormula>
    </tableColumn>
    <tableColumn id="71" xr3:uid="{614AF11C-37F3-485F-B2F5-DADAF5E403D9}" name="Peso [Kg]63" dataDxfId="144" dataCellStyle="Vírgula">
      <calculatedColumnFormula>IF(BR4=0,0,IF(BR4="ID não encontrado",0,IFERROR(VLOOKUP($BR$2,'BD - Itens x Peso'!$A:$B,2,FALSE),"Nome ou Peso não encontrado. Utilizado o Edredom Solteiro como referência")))</calculatedColumnFormula>
    </tableColumn>
    <tableColumn id="72" xr3:uid="{727F93B6-C085-4FAF-B301-8A74272C8380}" name="Valor por lavanderia [R$/Kg]64" dataDxfId="143" dataCellStyle="Moeda">
      <calculatedColumnFormula>IFERROR(IF(C4="","Cidade não foi inserida",IF(BR4=0,0,VLOOKUP(C4,'BD - Valor Lavanderia Por Item'!A:R,11,FALSE))),"Cidade não encontrada")</calculatedColumnFormula>
    </tableColumn>
    <tableColumn id="73" xr3:uid="{4E1906D7-49A9-48FF-AB4C-8FB5820CD0F6}" name="Custo [R$]65" dataDxfId="142" dataCellStyle="Moeda">
      <calculatedColumnFormula>IFERROR(IF(AND('TaxaLimpeza (Proposta)'!$A4&lt;&gt;"", COUNTIF('Configuração-Imóvel'!$A:$A, $A4)&gt;0), BT4*BS4*BR4,"ID não encontrado"),BT4*VLOOKUP($BB$2,'BD - Itens x Peso'!$A:$B,2,FALSE)*BR4)</calculatedColumnFormula>
    </tableColumn>
    <tableColumn id="74" xr3:uid="{B9F55F96-7C0B-4952-BFEC-99F0DFAA54FB}" name="Quantidade Estoque [UND]66" dataDxfId="141" dataCellStyle="Vírgula">
      <calculatedColumnFormula>IFERROR(IF(A4="",0,VLOOKUP(A4,'Estoque-Imóvel'!A:AC,23,FALSE)),"ID não encontrado")</calculatedColumnFormula>
    </tableColumn>
    <tableColumn id="75" xr3:uid="{7B98D7A8-3AD5-4096-9026-B4B3E9581931}" name="Peso [Kg]67" dataDxfId="140" dataCellStyle="Vírgula">
      <calculatedColumnFormula>IF(BV4=0,0,IF(BV4="ID não encontrado",0,IFERROR(VLOOKUP($BV$2,'BD - Itens x Peso'!$A:$B,2,FALSE),"Nome ou Peso não encontrado. Utilizado o Edredom Queen Size como referência")))</calculatedColumnFormula>
    </tableColumn>
    <tableColumn id="76" xr3:uid="{30DA1026-B58E-43CC-A09B-0758369E7D29}" name="Valor por lavanderia [R$/Kg]68" dataDxfId="139" dataCellStyle="Moeda">
      <calculatedColumnFormula>IFERROR(IF(C4="","Cidade não foi inserida",IF(BV4=0,0,VLOOKUP(C4,'BD - Valor Lavanderia Por Item'!A:R,13,FALSE))),"Cidade não encontrada")</calculatedColumnFormula>
    </tableColumn>
    <tableColumn id="77" xr3:uid="{E161A558-7F37-4B81-8A34-25B3FBF3A492}" name="Custo [R$]69" dataDxfId="138" dataCellStyle="Moeda">
      <calculatedColumnFormula>IFERROR(IF(AND('TaxaLimpeza (Proposta)'!$A4&lt;&gt;"",COUNTIF('Configuração-Imóvel'!$A:$A,$A4)&gt;0),BX4*BW4*BV4,"ID não encontrado"),BX4*(VLOOKUP($BF$2,'BD - Itens x Peso'!$A:$B,2,FALSE)*BV4))</calculatedColumnFormula>
    </tableColumn>
    <tableColumn id="78" xr3:uid="{BF08FCAC-25EE-4A9E-8AC7-D12A4C786AB4}" name="Quantidade Estoque [UND]70" dataDxfId="137" dataCellStyle="Vírgula">
      <calculatedColumnFormula>IFERROR(IF(A4="",0,VLOOKUP(A4,'Estoque-Imóvel'!A:AC,24,FALSE)),"ID não encontrado")</calculatedColumnFormula>
    </tableColumn>
    <tableColumn id="79" xr3:uid="{28D04BEA-6B3C-4B3C-9E43-479FA221DF25}" name="Peso [Kg]71" dataDxfId="136" dataCellStyle="Vírgula">
      <calculatedColumnFormula>IF(BZ4=0,0,IF(BZ4="ID não encontrado",0,IFERROR(VLOOKUP($BZ$2,'BD - Itens x Peso'!$A:$B,2,FALSE),"Nome ou Peso não encontrado. Utilizado o peso do Edredom Casal como referência")))</calculatedColumnFormula>
    </tableColumn>
    <tableColumn id="80" xr3:uid="{464CFAEE-85C0-4A18-A38A-EE42E8F778CD}" name="Valor por lavanderia [R$/Kg]72" dataDxfId="135" dataCellStyle="Moeda">
      <calculatedColumnFormula>IFERROR(IF(C4="","Cidade não foi inserida",IF(BZ4=0,0,VLOOKUP(C4,'BD - Valor Lavanderia Por Item'!A:R,12,FALSE))),"Cidade não encontrada")</calculatedColumnFormula>
    </tableColumn>
    <tableColumn id="81" xr3:uid="{A504D978-9807-4920-A429-72BF5784670A}" name="Custo [R$]73" dataDxfId="134" dataCellStyle="Moeda">
      <calculatedColumnFormula>IFERROR(IF(AND('TaxaLimpeza (Proposta)'!$A4&lt;&gt;"", COUNTIF('Configuração-Imóvel'!$A:$A, $A4)&gt;0), CB4*CA4*BZ4,"ID não encontrado"),VLOOKUP($BN$2,'BD - Itens x Peso'!$A:$B,2,FALSE)*CB4*BZ4)</calculatedColumnFormula>
    </tableColumn>
    <tableColumn id="82" xr3:uid="{9B2201A3-4C94-4D37-B1AC-CC5DE935992A}" name="Quantidade Estoque [UND]74" dataDxfId="133" dataCellStyle="Vírgula">
      <calculatedColumnFormula>IFERROR(IF(A4="",0,VLOOKUP(A4,'Estoque-Imóvel'!A:AC,25,FALSE)),"ID não encontrado")</calculatedColumnFormula>
    </tableColumn>
    <tableColumn id="83" xr3:uid="{7E768337-6B6B-41E7-BB1A-3B33AC4B4A3E}" name="Peso [Kg]75" dataDxfId="132" dataCellStyle="Vírgula">
      <calculatedColumnFormula>IF(CD4=0,0,IF(CD4="ID não encontrado",0,IFERROR(VLOOKUP($CD$2,'BD - Itens x Peso'!$A:$B,2,FALSE),"Nome ou Peso não encontrado. Utilizado o Edredom Queen Size como referência")))</calculatedColumnFormula>
    </tableColumn>
    <tableColumn id="84" xr3:uid="{5949C9CC-3C8E-469F-AAA9-889E1DB7132D}" name="Valor por lavanderia [R$/Kg]76" dataDxfId="131" dataCellStyle="Moeda">
      <calculatedColumnFormula>IFERROR(IF(C4="","Cidade não foi inserida",IF(CD4=0,0,VLOOKUP(C4,'BD - Valor Lavanderia Por Item'!A:R,13,FALSE))),"Cidade não encontrada")</calculatedColumnFormula>
    </tableColumn>
    <tableColumn id="85" xr3:uid="{2CA3F4A2-777F-4D92-A2AF-BC6C5475443D}" name="Custo [R$]77" dataDxfId="130" dataCellStyle="Moeda">
      <calculatedColumnFormula>IFERROR(IF(AND('TaxaLimpeza (Proposta)'!$A4&lt;&gt;"", COUNTIF('Configuração-Imóvel'!$A:$A, $A4)&gt;0), CF4*CE4*CD4,"ID não encontrado"),VLOOKUP($BF$2,'BD - Itens x Peso'!$A:$B,2,FALSE)*CF4*CD4)</calculatedColumnFormula>
    </tableColumn>
    <tableColumn id="86" xr3:uid="{9AAD13D3-1944-4EB4-831D-FFD9C998E982}" name="Quantidade Estoque [UND]78" dataDxfId="129" dataCellStyle="Vírgula">
      <calculatedColumnFormula>IFERROR(IF(A4="",0,VLOOKUP(A4,'Estoque-Imóvel'!A:AC,26,FALSE)),"ID não encontrado")</calculatedColumnFormula>
    </tableColumn>
    <tableColumn id="87" xr3:uid="{264EE556-7D74-4FB1-AA2D-482A28A6E684}" name="Peso [Kg]79" dataDxfId="128" dataCellStyle="Vírgula">
      <calculatedColumnFormula>IF(CH4=0,0,IF(CH4="ID não encontrado",0,IFERROR(VLOOKUP($CH$2,'BD - Itens x Peso'!$A:$B,2,FALSE),"Nome ou Peso não encontrado")))</calculatedColumnFormula>
    </tableColumn>
    <tableColumn id="88" xr3:uid="{3F940E53-8039-4AA6-B14D-04ECE3690094}" name="Valor por lavanderia [R$/Kg]80" dataDxfId="127" dataCellStyle="Moeda">
      <calculatedColumnFormula>IFERROR(IF(C4="","Cidade não foi inserida",IF(CH4=0,0,VLOOKUP(C4,'BD - Valor Lavanderia Por Item'!A:R,15,FALSE))),"Cidade não encontrada")</calculatedColumnFormula>
    </tableColumn>
    <tableColumn id="89" xr3:uid="{EDC375AC-CCBC-46CC-BDCF-231B73C68AAC}" name="Custo [R$]81" dataDxfId="126" dataCellStyle="Moeda">
      <calculatedColumnFormula>IFERROR(IF(AND('TaxaLimpeza (Proposta)'!$A4&lt;&gt;"", COUNTIF('Configuração-Imóvel'!$A:$A, $A4)&gt;0), CJ4*CI4*CH4,"ID não encontrado"),Tabela1[[#This Row],[Valor por lavanderia '[R$/Kg']80]])</calculatedColumnFormula>
    </tableColumn>
    <tableColumn id="90" xr3:uid="{0BB8A354-BA7D-43BE-AC6C-582547D88214}" name="Quantidade Estoque [UND]5" dataDxfId="125" dataCellStyle="Vírgula">
      <calculatedColumnFormula>IFERROR(IF(A4="",0,VLOOKUP(A4,'Estoque-Imóvel'!A:AC,27,FALSE)),"ID não encontrado")</calculatedColumnFormula>
    </tableColumn>
    <tableColumn id="91" xr3:uid="{F8B85424-5030-48C4-9327-1BFD393519F6}" name="Peso [Kg]83" dataDxfId="124" dataCellStyle="Vírgula">
      <calculatedColumnFormula>IF(CL4=0,0,IF(CL4="ID não encontrado",0,IFERROR(VLOOKUP($CL$2,'BD - Itens x Peso'!$A:$B,2,FALSE),"Nome ou Peso não encontrado")))</calculatedColumnFormula>
    </tableColumn>
    <tableColumn id="92" xr3:uid="{F38D8D71-2190-4FE9-A09D-B10E3242DB6B}" name="Valor por lavanderia [R$/Kg]84" dataDxfId="123" dataCellStyle="Moeda">
      <calculatedColumnFormula>IFERROR(IF(C4="","Cidade não foi inserida",IF(CL4=0,0,VLOOKUP(C4,'BD - Valor Lavanderia Por Item'!A:R,17,FALSE))),"Cidade não encontrada")</calculatedColumnFormula>
    </tableColumn>
    <tableColumn id="93" xr3:uid="{6AEF6AAA-B66F-417A-BBC0-DA4E1CD9A9C0}" name="Custo [R$]85" dataDxfId="122" dataCellStyle="Moeda">
      <calculatedColumnFormula>IFERROR(IF(AND('TaxaLimpeza (Proposta)'!$A4&lt;&gt;"", COUNTIF('Configuração-Imóvel'!$A:$A, $A4)&gt;0), CN4*CM4*CL4,"ID não encontrado"),Tabela1[[#This Row],[Valor por lavanderia '[R$/Kg']84]])</calculatedColumnFormula>
    </tableColumn>
    <tableColumn id="94" xr3:uid="{912812E7-453E-43C2-A334-72FC3FA95EEC}" name="Quantidade Estoque [UND]4" dataDxfId="121" dataCellStyle="Vírgula">
      <calculatedColumnFormula>IFERROR(IF(A4="",0,VLOOKUP(A4,'Estoque-Imóvel'!A:AC,28,FALSE)),"ID não encontrado")</calculatedColumnFormula>
    </tableColumn>
    <tableColumn id="95" xr3:uid="{9C423123-B890-489D-A8F5-0D422B572EB7}" name="Peso [Kg]86" dataDxfId="120" dataCellStyle="Vírgula">
      <calculatedColumnFormula>IF(CP4=0,0,IF(CP4="ID não encontrado",0,IFERROR(VLOOKUP($CP$2,'BD - Itens x Peso'!$A:$B,2,FALSE),"Nome ou Peso não encontrado")))</calculatedColumnFormula>
    </tableColumn>
    <tableColumn id="96" xr3:uid="{E248F829-EF24-43C3-86B8-41F14F66A648}" name="Valor por lavanderia [R$/Kg]3" dataDxfId="119" dataCellStyle="Moeda">
      <calculatedColumnFormula>IFERROR(IF(C4="","Cidade não foi inserida",IF(CP4=0,0,VLOOKUP(C4,'BD - Valor Lavanderia Por Item'!A:R,18,FALSE))),"Cidade não encontrada")</calculatedColumnFormula>
    </tableColumn>
    <tableColumn id="97" xr3:uid="{7CAE2B11-65B0-4CF8-8D62-18B2DF178B48}" name="Custo [R$]4" dataDxfId="118" dataCellStyle="Moeda">
      <calculatedColumnFormula>IFERROR(IF(AND('TaxaLimpeza (Proposta)'!$A4&lt;&gt;"", COUNTIF('Configuração-Imóvel'!$A:$A, $A4)&gt;0), CR4*CQ4*CP4,"ID não encontrado"),Tabela1[[#This Row],[Valor por lavanderia '[R$/Kg']3]])</calculatedColumnFormula>
    </tableColumn>
    <tableColumn id="98" xr3:uid="{58DA142E-9D8B-437A-82E7-8C81365B614E}" name="Quantidade Estoque [UND]3" dataDxfId="117" dataCellStyle="Vírgula">
      <calculatedColumnFormula>IFERROR(IF(A4="",0,VLOOKUP(A4,'Estoque-Imóvel'!A:AC,29,FALSE)),"ID não encontrado")</calculatedColumnFormula>
    </tableColumn>
    <tableColumn id="99" xr3:uid="{D1DFA545-768C-4E0F-B881-3F10CA35C0F1}" name="Peso [Kg]2" dataDxfId="116" dataCellStyle="Vírgula">
      <calculatedColumnFormula>IF(CT4=0,0,IF(CT4="ID não encontrado",0,IFERROR(VLOOKUP($CT$2,'BD - Itens x Peso'!$A:$B,2,FALSE),"Nome ou Peso não encontrado")))</calculatedColumnFormula>
    </tableColumn>
    <tableColumn id="100" xr3:uid="{6FB2D053-01DD-4DB9-A9A7-30A9208D97AC}" name="Valor por lavanderia [R$/Kg]2" dataDxfId="115" dataCellStyle="Moeda">
      <calculatedColumnFormula>IFERROR(IF(C4="","Cidade não foi inserida",IF(CT4=0,0,VLOOKUP(C4,'BD - Valor Lavanderia Por Item'!A:R,16,FALSE))),"Cidade não encontrada")</calculatedColumnFormula>
    </tableColumn>
    <tableColumn id="101" xr3:uid="{2BB87E25-6E4D-4B60-AC5A-3EF27C4FEE66}" name="Custo [R$]2" dataDxfId="114" dataCellStyle="Moeda">
      <calculatedColumnFormula>IFERROR(IF(AND('TaxaLimpeza (Proposta)'!$A4&lt;&gt;"", COUNTIF('Configuração-Imóvel'!$A:$A, $A4)&gt;0), CV4*CU4*CT4,"ID não encontrado"),Tabela1[[#This Row],[Valor por lavanderia '[R$/Kg']2]])</calculatedColumnFormula>
    </tableColumn>
    <tableColumn id="115" xr3:uid="{3A5D5690-4340-4AB9-8EB9-36DC828A00DB}" name="Custo total de itens em estoque nos imóveis [R$]" dataDxfId="113" dataCellStyle="Moeda">
      <calculatedColumnFormula>IFERROR(IF(A4="","",I4+M4+Q4+U4+Y4+AC4+AG4+AK4+AO4+AS4+AW4+BA4+BE4+BI4+BM4+BQ4+BU4+BY4+CC4+CG4+CK4+CO4+CS4+CW4),"Dados com erro")</calculatedColumnFormula>
    </tableColumn>
    <tableColumn id="102" xr3:uid="{86434561-E243-480C-B9CC-9BD2BCD5F285}" name="Sabonete" dataDxfId="112" dataCellStyle="Moeda">
      <calculatedColumnFormula>IFERROR(IF(A4="","",(VLOOKUP(A4,'Configuração-Imóvel'!$A$2:$R$21,16,FALSE)+VLOOKUP(A4,'Configuração-Imóvel'!$A$2:$R$21,17,FALSE))*VLOOKUP($CY$3,'BD - Amenities'!$B$2:$E$7,4,FALSE)),"ID não encontrado")</calculatedColumnFormula>
    </tableColumn>
    <tableColumn id="103" xr3:uid="{FFF7BCDE-1ED4-4257-9613-DBFC72813CA2}" name="Papel Higiênico" dataDxfId="111" dataCellStyle="Moeda">
      <calculatedColumnFormula>IFERROR(IF(A4="","",(VLOOKUP(A4,'Configuração-Imóvel'!$A$2:$R$21,16,FALSE)+VLOOKUP(A4,'Configuração-Imóvel'!$A$2:$R$21,17,FALSE))*VLOOKUP($CZ$3,'BD - Amenities'!$B$2:$E$7,4,FALSE)),"ID não encontrado")</calculatedColumnFormula>
    </tableColumn>
    <tableColumn id="104" xr3:uid="{3E0FCB3A-3AF9-4D98-BE7B-7B32A8F654B8}" name="shampoo" dataDxfId="110" dataCellStyle="Moeda">
      <calculatedColumnFormula>IFERROR(IF(A4="","",VLOOKUP(A4,'Configuração-Imóvel'!$A$2:$R$21,16,FALSE)*VLOOKUP($DA$3,'BD - Amenities'!$B$2:$E$7,4,FALSE)),"ID não encontrado")</calculatedColumnFormula>
    </tableColumn>
    <tableColumn id="105" xr3:uid="{222CBF71-5AD6-4994-9E53-7E3BC07F158C}" name="condicionador" dataDxfId="109" dataCellStyle="Moeda">
      <calculatedColumnFormula>IFERROR(IF(A4="","",VLOOKUP(A4,'Configuração-Imóvel'!$A$2:$R$21,16,FALSE)*VLOOKUP($DB$3,'BD - Amenities'!$B$2:$E$7,4,FALSE)),"ID não encontrado")</calculatedColumnFormula>
    </tableColumn>
    <tableColumn id="116" xr3:uid="{B550E3CA-B23F-4384-9CB1-F605AB328D13}" name="Custo total Amenities [R$]" dataDxfId="108" dataCellStyle="Moeda">
      <calculatedColumnFormula>IFERROR(CY4+CZ4+DA4+DB4,"Erro no cálculo de Amenities")</calculatedColumnFormula>
    </tableColumn>
    <tableColumn id="106" xr3:uid="{F87FF38E-2D14-4204-A84C-6A6C26D9A83E}" name="Esponja" dataDxfId="107" dataCellStyle="Moeda">
      <calculatedColumnFormula>IFERROR(IF(A4="","",VLOOKUP($DD$3,'BD - Material de Limpeza'!$A:$D,4,FALSE)),"ID não encontrado")</calculatedColumnFormula>
    </tableColumn>
    <tableColumn id="107" xr3:uid="{4AFB7993-9F74-4C8E-85BB-5BCCEA358A43}" name="Detergente" dataDxfId="106" dataCellStyle="Moeda">
      <calculatedColumnFormula>IFERROR(IF(A4="","",VLOOKUP($DE$3,'BD - Material de Limpeza'!$A:$D,4,FALSE)),"ID não encontrado")</calculatedColumnFormula>
    </tableColumn>
    <tableColumn id="108" xr3:uid="{392B670F-BD61-4D7A-A25E-57B74A21C583}" name="Pano de louça" dataDxfId="105" dataCellStyle="Moeda">
      <calculatedColumnFormula>IFERROR(IF(A4="","",VLOOKUP($DF$3,'BD - Material de Limpeza'!$A:$D,4,FALSE)),"ID não encontrado")</calculatedColumnFormula>
    </tableColumn>
    <tableColumn id="109" xr3:uid="{498D3263-3E77-4E06-A375-7094D7B43A69}" name="Pano de chão" dataDxfId="104" dataCellStyle="Moeda">
      <calculatedColumnFormula>IFERROR(IF(A4="","",VLOOKUP($DG$3,'BD - Material de Limpeza'!$A:$D,4,FALSE)),"ID não encontrado")</calculatedColumnFormula>
    </tableColumn>
    <tableColumn id="110" xr3:uid="{9CF90ECA-1705-4571-859D-A31CE7EBC0AE}" name="Desinfetante" dataDxfId="103" dataCellStyle="Moeda">
      <calculatedColumnFormula>IFERROR(IF(A4="","",VLOOKUP($DH$3,'BD - Material de Limpeza'!$A:$D,4,FALSE)),"ID não encontrado")</calculatedColumnFormula>
    </tableColumn>
    <tableColumn id="111" xr3:uid="{BA1C472F-BF61-4080-BC37-442F58197C8F}" name="Água sanitária" dataDxfId="102" dataCellStyle="Moeda">
      <calculatedColumnFormula>IFERROR(IF(A4="","",VLOOKUP($DI$3,'BD - Material de Limpeza'!$A:$D,4,FALSE)),"ID não encontrado")</calculatedColumnFormula>
    </tableColumn>
    <tableColumn id="112" xr3:uid="{A8F3A2D9-561E-41ED-802D-E2DC6722195D}" name="Multiuso" dataDxfId="101" dataCellStyle="Moeda">
      <calculatedColumnFormula>IFERROR(IF(A4="","",VLOOKUP($DJ$3,'BD - Material de Limpeza'!$A:$D,4,FALSE)),"ID não encontrado")</calculatedColumnFormula>
    </tableColumn>
    <tableColumn id="117" xr3:uid="{406667BF-1369-4BE8-9FC6-96CE0F323266}" name="Custo total material de limpeza [R$]" dataDxfId="100" dataCellStyle="Moeda">
      <calculatedColumnFormula>IFERROR(DD4+DE4+DF4+DG4+DH4+DI4+DJ4,"Erro")</calculatedColumnFormula>
    </tableColumn>
    <tableColumn id="113" xr3:uid="{3B7FCB7C-0CC8-4FF7-9185-BC44A86FB6E5}" name="Custo total diarista por quantidade de quartos [R$]" dataDxfId="99" dataCellStyle="Moeda">
      <calculatedColumnFormula array="1">IFERROR(IF('TaxaLimpeza (Proposta)'!$A4="","",INDEX('BD - Valor Limpeza Diarista'!B:B,INDEX('Configuração-Imóvel'!O:O,MATCH(A4,'Configuração-Imóvel'!A:A,0))+1,0)),"ID não encontrado")</calculatedColumnFormula>
    </tableColumn>
    <tableColumn id="114" xr3:uid="{A066D782-4668-4931-8600-02D602FB78B0}" name="Taxa de Limpeza" totalsRowFunction="sum" dataDxfId="98" totalsRowDxfId="97">
      <calculatedColumnFormula>SUM(CX4,DC4,DK4,DL4)*1.1</calculatedColumnFormula>
    </tableColumn>
  </tableColumns>
  <tableStyleInfo name="TableStyleMedium2" showFirstColumn="1" showLastColumn="1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D894FF-8711-401E-89F3-E48887646EA8}" name="Tabela2" displayName="Tabela2" ref="A1:R21" totalsRowShown="0" headerRowDxfId="89" dataDxfId="88">
  <autoFilter ref="A1:R21" xr:uid="{A8D894FF-8711-401E-89F3-E48887646EA8}"/>
  <tableColumns count="18">
    <tableColumn id="1" xr3:uid="{7679A5E3-B732-4549-A7F5-06EE80285A77}" name="code" dataDxfId="87"/>
    <tableColumn id="2" xr3:uid="{2418F7F8-AF2B-4055-8838-89F9B35AF912}" name="neighborhood" dataDxfId="86"/>
    <tableColumn id="3" xr3:uid="{5B931281-05EB-45D4-8539-ED8491A00B4A}" name="city" dataDxfId="85"/>
    <tableColumn id="4" xr3:uid="{B2818C46-F32D-4902-85C1-B8A378FE0EC1}" name="state" dataDxfId="84"/>
    <tableColumn id="5" xr3:uid="{A2CAB950-0EAE-4AA8-A418-16D89672BC4A}" name="status" dataDxfId="83"/>
    <tableColumn id="6" xr3:uid="{527D9B0E-4091-442C-9F50-151F149D01C7}" name="Camas de solteiro" dataDxfId="82"/>
    <tableColumn id="7" xr3:uid="{A6F8699D-8B7A-4F1C-BE64-181A070344E4}" name="Cama de casal" dataDxfId="81"/>
    <tableColumn id="8" xr3:uid="{ACA60BE9-A8A9-4A80-9EC0-B1443D794EB7}" name="Cama Queen" dataDxfId="80"/>
    <tableColumn id="9" xr3:uid="{5CD301CE-2B69-4C9B-AF2A-C59012AD99A4}" name="Cama King" dataDxfId="79"/>
    <tableColumn id="10" xr3:uid="{9A04A09C-BF2F-4B7D-A3C2-6415EBE1A089}" name="Sofa Cama Solteiro" dataDxfId="78"/>
    <tableColumn id="11" xr3:uid="{9E7D9D97-BD43-4705-9201-E6360178A167}" name="Sofa Cama Casal" dataDxfId="77"/>
    <tableColumn id="12" xr3:uid="{B8DD6CF4-31B3-4AE1-AC66-A4B634C2C685}" name="Número Camas Solteiro" dataDxfId="76">
      <calculatedColumnFormula>F2+J2</calculatedColumnFormula>
    </tableColumn>
    <tableColumn id="13" xr3:uid="{603F673B-09A6-4810-A4BE-2E7CE845E5CA}" name="Número Camas Casal" dataDxfId="75">
      <calculatedColumnFormula>G2+H2+I2+K2</calculatedColumnFormula>
    </tableColumn>
    <tableColumn id="14" xr3:uid="{A54293DE-8DF9-4AAD-B35B-3F964C8B7C78}" name="Travesseiros" dataDxfId="74"/>
    <tableColumn id="15" xr3:uid="{21AF918B-5686-4DB1-93BC-6936A966B58D}" name="Numero Quartos" dataDxfId="73"/>
    <tableColumn id="16" xr3:uid="{E6173108-0AB5-4D42-A284-5BA32692FF19}" name="Numero Banheiros" dataDxfId="72"/>
    <tableColumn id="17" xr3:uid="{C959FB09-1EB5-44A5-B2C6-E39B445AF0C1}" name="Numero Lavabos" dataDxfId="71"/>
    <tableColumn id="18" xr3:uid="{D6F9A387-3E22-483E-9A79-50D0527C549C}" name="Numero Hóspedes" dataDxfId="7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127A72-5E38-4998-B3DD-E84690C8E62B}" name="Tabela3" displayName="Tabela3" ref="A1:AC21" totalsRowShown="0" headerRowDxfId="30" dataDxfId="29">
  <autoFilter ref="A1:AC21" xr:uid="{5B127A72-5E38-4998-B3DD-E84690C8E62B}"/>
  <tableColumns count="29">
    <tableColumn id="1" xr3:uid="{0B4BD465-987B-4CBB-8E7B-5A21D27FE207}" name="code" dataDxfId="28"/>
    <tableColumn id="2" xr3:uid="{0159DE39-304E-4124-A47F-FF50C2C83CD8}" name="neighborhood" dataDxfId="27"/>
    <tableColumn id="3" xr3:uid="{3326A303-1942-4850-A898-7310134B0626}" name="city" dataDxfId="26"/>
    <tableColumn id="4" xr3:uid="{ED5DBC65-7A1C-42B6-B1F5-5C726C9DD3E0}" name="state" dataDxfId="25"/>
    <tableColumn id="5" xr3:uid="{8682FDAB-7903-4EFF-9FC2-19F04EB7F3C3}" name="status" dataDxfId="24"/>
    <tableColumn id="6" xr3:uid="{355049DC-1DBC-4D05-92D6-2CF58FFA38CC}" name="Toalha de rosto" dataDxfId="23"/>
    <tableColumn id="7" xr3:uid="{521AA955-4544-4D9F-AE2C-95B71A999D29}" name="Toalha de piso" dataDxfId="22"/>
    <tableColumn id="8" xr3:uid="{6803BEB7-926B-4416-A8EA-44C0DD58F548}" name="Toalha de maquiagem" dataDxfId="21"/>
    <tableColumn id="9" xr3:uid="{E09405F5-D731-4A9D-BBAA-64B1DCF5E0AC}" name="Toalha de banho" dataDxfId="20"/>
    <tableColumn id="10" xr3:uid="{AB984585-4FEC-4B0E-AFDC-5F94ABA055FA}" name="Pano de prato" dataDxfId="19"/>
    <tableColumn id="11" xr3:uid="{D2005A99-2751-461C-8B86-E60257036255}" name="Pano de pia" dataDxfId="18"/>
    <tableColumn id="12" xr3:uid="{079915B6-76E0-438D-BF24-DBCDF238FF13}" name="Manta queen size" dataDxfId="17"/>
    <tableColumn id="13" xr3:uid="{5A617552-E7D9-4564-BD26-ACCFB03017F1}" name="Lençol solteiro" dataDxfId="16"/>
    <tableColumn id="14" xr3:uid="{E87C3380-8B28-4C4B-A1D0-61EDF9560395}" name="Lençol queen size" dataDxfId="15"/>
    <tableColumn id="15" xr3:uid="{FEECCFC0-4AEE-4911-944B-138BFDE88AAA}" name="Lençol king size" dataDxfId="14"/>
    <tableColumn id="16" xr3:uid="{36506D7F-E043-4DBF-B8A7-419A5F7A2B04}" name="Lençol casal" dataDxfId="13"/>
    <tableColumn id="17" xr3:uid="{96427A60-80FD-48A8-A1C2-E883198F3FDB}" name="Fronha" dataDxfId="12"/>
    <tableColumn id="18" xr3:uid="{E81791BF-66E8-48C4-8C13-3287834BFC40}" name="Edredom solteiro" dataDxfId="11"/>
    <tableColumn id="19" xr3:uid="{DFC511B7-A690-4C71-BE55-95F3C9C1C857}" name="Edredom queen size" dataDxfId="10"/>
    <tableColumn id="20" xr3:uid="{2CF040B5-F4FC-4A5A-9E8B-6CE1E07F30B1}" name="Edredom king size" dataDxfId="9"/>
    <tableColumn id="21" xr3:uid="{7D8D13FC-50C3-4801-9DF2-9C790810FB99}" name="Edredom casal" dataDxfId="8"/>
    <tableColumn id="22" xr3:uid="{F298217A-822C-4B69-B4DC-CB483C86509D}" name="Colcha solteiro" dataDxfId="7"/>
    <tableColumn id="23" xr3:uid="{26ECB302-D740-40E1-9E87-0873DF5DF855}" name="Colcha queen size" dataDxfId="6"/>
    <tableColumn id="24" xr3:uid="{60929E73-1F34-4C51-B4EE-1F58EDF333AF}" name="Colcha casal" dataDxfId="5"/>
    <tableColumn id="25" xr3:uid="{F766806F-02B9-4730-9721-A07F1D32DB80}" name="Cobertor queen size" dataDxfId="4"/>
    <tableColumn id="26" xr3:uid="{1CD79767-6E15-4A48-B9D2-9455C9E39914}" name="Capa edredom solteiro" dataDxfId="3"/>
    <tableColumn id="27" xr3:uid="{F0AA3945-162E-45F8-B0AD-3F2DF502997A}" name="Capa edredom queen size" dataDxfId="2"/>
    <tableColumn id="28" xr3:uid="{F3F84F85-0AC6-44A6-A2DE-6DFCAE5F9D86}" name="Capa edredom king size" dataDxfId="1"/>
    <tableColumn id="29" xr3:uid="{6B4AF118-3CE5-4C7E-AC11-B694FB84B500}" name="Capa edredom casa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07138-505D-4D0A-B6AC-1678FB1AD9CA}">
  <sheetPr codeName="Planilha1">
    <tabColor rgb="FF92D050"/>
    <outlinePr summaryBelow="0" summaryRight="0"/>
  </sheetPr>
  <dimension ref="A1:DP23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5" sqref="A5"/>
      <selection pane="bottomRight" activeCell="DM23" sqref="A1:DM23"/>
    </sheetView>
  </sheetViews>
  <sheetFormatPr defaultColWidth="12.5703125" defaultRowHeight="15" customHeight="1"/>
  <cols>
    <col min="1" max="1" width="17.42578125" customWidth="1"/>
    <col min="2" max="2" width="14.42578125" bestFit="1" customWidth="1"/>
    <col min="3" max="3" width="13.42578125" customWidth="1"/>
    <col min="4" max="4" width="7.85546875" customWidth="1"/>
    <col min="5" max="5" width="8.85546875" customWidth="1"/>
    <col min="6" max="7" width="16.7109375" hidden="1" customWidth="1"/>
    <col min="8" max="8" width="16.7109375" style="31" hidden="1" customWidth="1"/>
    <col min="9" max="11" width="16.7109375" hidden="1" customWidth="1"/>
    <col min="12" max="13" width="16.7109375" style="31" hidden="1" customWidth="1"/>
    <col min="14" max="101" width="16.7109375" hidden="1" customWidth="1"/>
    <col min="102" max="102" width="42.140625" style="31" customWidth="1"/>
    <col min="103" max="105" width="10.5703125" hidden="1" customWidth="1"/>
    <col min="106" max="106" width="14.7109375" hidden="1" customWidth="1"/>
    <col min="107" max="107" width="23.42578125" customWidth="1"/>
    <col min="108" max="108" width="10.5703125" hidden="1" customWidth="1"/>
    <col min="109" max="109" width="11.5703125" hidden="1" customWidth="1"/>
    <col min="110" max="110" width="10.5703125" hidden="1" customWidth="1"/>
    <col min="111" max="111" width="11.5703125" hidden="1" customWidth="1"/>
    <col min="112" max="112" width="12.85546875" hidden="1" customWidth="1"/>
    <col min="113" max="113" width="14.85546875" hidden="1" customWidth="1"/>
    <col min="114" max="114" width="16.42578125" hidden="1" customWidth="1"/>
    <col min="115" max="115" width="34" bestFit="1" customWidth="1"/>
    <col min="116" max="116" width="35.28515625" customWidth="1"/>
    <col min="117" max="117" width="23.5703125" customWidth="1"/>
    <col min="118" max="118" width="55.42578125" hidden="1" customWidth="1"/>
    <col min="120" max="120" width="30" bestFit="1" customWidth="1"/>
  </cols>
  <sheetData>
    <row r="1" spans="1:120" s="25" customFormat="1" ht="37.5" customHeight="1" thickBot="1">
      <c r="A1" s="71"/>
      <c r="B1" s="98" t="s">
        <v>173</v>
      </c>
      <c r="C1" s="98"/>
      <c r="D1" s="98"/>
      <c r="E1" s="99"/>
      <c r="F1" s="100" t="s">
        <v>164</v>
      </c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  <c r="BB1" s="101"/>
      <c r="BC1" s="101"/>
      <c r="BD1" s="101"/>
      <c r="BE1" s="101"/>
      <c r="BF1" s="101"/>
      <c r="BG1" s="101"/>
      <c r="BH1" s="101"/>
      <c r="BI1" s="101"/>
      <c r="BJ1" s="101"/>
      <c r="BK1" s="101"/>
      <c r="BL1" s="101"/>
      <c r="BM1" s="101"/>
      <c r="BN1" s="101"/>
      <c r="BO1" s="101"/>
      <c r="BP1" s="101"/>
      <c r="BQ1" s="101"/>
      <c r="BR1" s="101"/>
      <c r="BS1" s="101"/>
      <c r="BT1" s="101"/>
      <c r="BU1" s="101"/>
      <c r="BV1" s="101"/>
      <c r="BW1" s="101"/>
      <c r="BX1" s="101"/>
      <c r="BY1" s="101"/>
      <c r="BZ1" s="101"/>
      <c r="CA1" s="101"/>
      <c r="CB1" s="101"/>
      <c r="CC1" s="101"/>
      <c r="CD1" s="101"/>
      <c r="CE1" s="101"/>
      <c r="CF1" s="101"/>
      <c r="CG1" s="101"/>
      <c r="CH1" s="101"/>
      <c r="CI1" s="101"/>
      <c r="CJ1" s="101"/>
      <c r="CK1" s="101"/>
      <c r="CL1" s="101"/>
      <c r="CM1" s="101"/>
      <c r="CN1" s="101"/>
      <c r="CO1" s="101"/>
      <c r="CP1" s="101"/>
      <c r="CQ1" s="101"/>
      <c r="CR1" s="101"/>
      <c r="CS1" s="101"/>
      <c r="CT1" s="101"/>
      <c r="CU1" s="101"/>
      <c r="CV1" s="101"/>
      <c r="CW1" s="101"/>
      <c r="CX1" s="102"/>
      <c r="CY1" s="88" t="s">
        <v>195</v>
      </c>
      <c r="CZ1" s="89"/>
      <c r="DA1" s="89"/>
      <c r="DB1" s="89"/>
      <c r="DC1" s="90"/>
      <c r="DD1" s="91" t="s">
        <v>196</v>
      </c>
      <c r="DE1" s="92"/>
      <c r="DF1" s="92"/>
      <c r="DG1" s="92"/>
      <c r="DH1" s="92"/>
      <c r="DI1" s="92"/>
      <c r="DJ1" s="92"/>
      <c r="DK1" s="93"/>
      <c r="DL1" s="73" t="s">
        <v>197</v>
      </c>
      <c r="DM1" s="28"/>
      <c r="DN1" s="24"/>
    </row>
    <row r="2" spans="1:120" s="30" customFormat="1" ht="15.75" hidden="1" customHeight="1" thickBot="1">
      <c r="A2" s="71"/>
      <c r="B2" s="98"/>
      <c r="C2" s="98"/>
      <c r="D2" s="98"/>
      <c r="E2" s="99"/>
      <c r="F2" s="103" t="s">
        <v>33</v>
      </c>
      <c r="G2" s="104"/>
      <c r="H2" s="104"/>
      <c r="I2" s="105"/>
      <c r="J2" s="94" t="s">
        <v>34</v>
      </c>
      <c r="K2" s="95"/>
      <c r="L2" s="95"/>
      <c r="M2" s="96"/>
      <c r="N2" s="94" t="s">
        <v>53</v>
      </c>
      <c r="O2" s="95"/>
      <c r="P2" s="95"/>
      <c r="Q2" s="96"/>
      <c r="R2" s="94" t="s">
        <v>35</v>
      </c>
      <c r="S2" s="95"/>
      <c r="T2" s="95"/>
      <c r="U2" s="96"/>
      <c r="V2" s="94" t="s">
        <v>51</v>
      </c>
      <c r="W2" s="95"/>
      <c r="X2" s="95"/>
      <c r="Y2" s="96"/>
      <c r="Z2" s="94" t="s">
        <v>52</v>
      </c>
      <c r="AA2" s="95"/>
      <c r="AB2" s="95"/>
      <c r="AC2" s="96"/>
      <c r="AD2" s="94" t="s">
        <v>41</v>
      </c>
      <c r="AE2" s="95"/>
      <c r="AF2" s="95"/>
      <c r="AG2" s="96"/>
      <c r="AH2" s="94" t="s">
        <v>37</v>
      </c>
      <c r="AI2" s="95"/>
      <c r="AJ2" s="95"/>
      <c r="AK2" s="96"/>
      <c r="AL2" s="94" t="s">
        <v>39</v>
      </c>
      <c r="AM2" s="95"/>
      <c r="AN2" s="95"/>
      <c r="AO2" s="96"/>
      <c r="AP2" s="94" t="s">
        <v>40</v>
      </c>
      <c r="AQ2" s="95"/>
      <c r="AR2" s="95"/>
      <c r="AS2" s="96"/>
      <c r="AT2" s="94" t="s">
        <v>38</v>
      </c>
      <c r="AU2" s="95"/>
      <c r="AV2" s="95"/>
      <c r="AW2" s="96"/>
      <c r="AX2" s="94" t="s">
        <v>36</v>
      </c>
      <c r="AY2" s="95"/>
      <c r="AZ2" s="95"/>
      <c r="BA2" s="96"/>
      <c r="BB2" s="94" t="s">
        <v>42</v>
      </c>
      <c r="BC2" s="95"/>
      <c r="BD2" s="95"/>
      <c r="BE2" s="96"/>
      <c r="BF2" s="94" t="s">
        <v>44</v>
      </c>
      <c r="BG2" s="95"/>
      <c r="BH2" s="95"/>
      <c r="BI2" s="96"/>
      <c r="BJ2" s="94" t="s">
        <v>45</v>
      </c>
      <c r="BK2" s="95"/>
      <c r="BL2" s="95"/>
      <c r="BM2" s="96"/>
      <c r="BN2" s="94" t="s">
        <v>43</v>
      </c>
      <c r="BO2" s="95"/>
      <c r="BP2" s="95"/>
      <c r="BQ2" s="96"/>
      <c r="BR2" s="94" t="s">
        <v>157</v>
      </c>
      <c r="BS2" s="95"/>
      <c r="BT2" s="95"/>
      <c r="BU2" s="96"/>
      <c r="BV2" s="94" t="s">
        <v>158</v>
      </c>
      <c r="BW2" s="95"/>
      <c r="BX2" s="95"/>
      <c r="BY2" s="96"/>
      <c r="BZ2" s="94" t="s">
        <v>159</v>
      </c>
      <c r="CA2" s="95"/>
      <c r="CB2" s="95"/>
      <c r="CC2" s="96"/>
      <c r="CD2" s="94" t="s">
        <v>50</v>
      </c>
      <c r="CE2" s="95"/>
      <c r="CF2" s="95"/>
      <c r="CG2" s="96"/>
      <c r="CH2" s="94" t="s">
        <v>46</v>
      </c>
      <c r="CI2" s="95"/>
      <c r="CJ2" s="95"/>
      <c r="CK2" s="96"/>
      <c r="CL2" s="94" t="s">
        <v>48</v>
      </c>
      <c r="CM2" s="95"/>
      <c r="CN2" s="95"/>
      <c r="CO2" s="96"/>
      <c r="CP2" s="94" t="s">
        <v>49</v>
      </c>
      <c r="CQ2" s="95"/>
      <c r="CR2" s="95"/>
      <c r="CS2" s="96"/>
      <c r="CT2" s="94" t="s">
        <v>47</v>
      </c>
      <c r="CU2" s="95"/>
      <c r="CV2" s="95"/>
      <c r="CW2" s="97"/>
      <c r="CX2" s="53"/>
      <c r="CY2" s="57"/>
      <c r="CZ2" s="56"/>
      <c r="DA2" s="56"/>
      <c r="DB2" s="56"/>
      <c r="DC2" s="54"/>
      <c r="DD2" s="57"/>
      <c r="DE2" s="56"/>
      <c r="DF2" s="56"/>
      <c r="DG2" s="56"/>
      <c r="DH2" s="56"/>
      <c r="DI2" s="56"/>
      <c r="DJ2" s="56"/>
      <c r="DK2" s="54"/>
      <c r="DL2" s="55"/>
      <c r="DM2" s="64"/>
      <c r="DN2" s="29" t="s">
        <v>166</v>
      </c>
    </row>
    <row r="3" spans="1:120" s="63" customFormat="1" ht="27" customHeight="1" thickTop="1">
      <c r="A3" s="47" t="s">
        <v>202</v>
      </c>
      <c r="B3" s="47" t="s">
        <v>199</v>
      </c>
      <c r="C3" s="47" t="s">
        <v>32</v>
      </c>
      <c r="D3" s="47" t="s">
        <v>200</v>
      </c>
      <c r="E3" s="46" t="s">
        <v>142</v>
      </c>
      <c r="F3" s="58" t="s">
        <v>171</v>
      </c>
      <c r="G3" s="59" t="s">
        <v>169</v>
      </c>
      <c r="H3" s="60" t="s">
        <v>170</v>
      </c>
      <c r="I3" s="59" t="s">
        <v>172</v>
      </c>
      <c r="J3" s="61" t="s">
        <v>208</v>
      </c>
      <c r="K3" s="59" t="s">
        <v>209</v>
      </c>
      <c r="L3" s="60" t="s">
        <v>210</v>
      </c>
      <c r="M3" s="60" t="s">
        <v>211</v>
      </c>
      <c r="N3" s="59" t="s">
        <v>212</v>
      </c>
      <c r="O3" s="59" t="s">
        <v>213</v>
      </c>
      <c r="P3" s="59" t="s">
        <v>214</v>
      </c>
      <c r="Q3" s="59" t="s">
        <v>215</v>
      </c>
      <c r="R3" s="59" t="s">
        <v>216</v>
      </c>
      <c r="S3" s="59" t="s">
        <v>217</v>
      </c>
      <c r="T3" s="59" t="s">
        <v>218</v>
      </c>
      <c r="U3" s="59" t="s">
        <v>219</v>
      </c>
      <c r="V3" s="59" t="s">
        <v>220</v>
      </c>
      <c r="W3" s="59" t="s">
        <v>221</v>
      </c>
      <c r="X3" s="59" t="s">
        <v>222</v>
      </c>
      <c r="Y3" s="59" t="s">
        <v>223</v>
      </c>
      <c r="Z3" s="59" t="s">
        <v>224</v>
      </c>
      <c r="AA3" s="59" t="s">
        <v>225</v>
      </c>
      <c r="AB3" s="59" t="s">
        <v>226</v>
      </c>
      <c r="AC3" s="59" t="s">
        <v>227</v>
      </c>
      <c r="AD3" s="59" t="s">
        <v>228</v>
      </c>
      <c r="AE3" s="59" t="s">
        <v>229</v>
      </c>
      <c r="AF3" s="59" t="s">
        <v>230</v>
      </c>
      <c r="AG3" s="59" t="s">
        <v>231</v>
      </c>
      <c r="AH3" s="59" t="s">
        <v>232</v>
      </c>
      <c r="AI3" s="59" t="s">
        <v>233</v>
      </c>
      <c r="AJ3" s="59" t="s">
        <v>234</v>
      </c>
      <c r="AK3" s="59" t="s">
        <v>235</v>
      </c>
      <c r="AL3" s="59" t="s">
        <v>236</v>
      </c>
      <c r="AM3" s="59" t="s">
        <v>237</v>
      </c>
      <c r="AN3" s="59" t="s">
        <v>238</v>
      </c>
      <c r="AO3" s="59" t="s">
        <v>239</v>
      </c>
      <c r="AP3" s="59" t="s">
        <v>240</v>
      </c>
      <c r="AQ3" s="59" t="s">
        <v>241</v>
      </c>
      <c r="AR3" s="59" t="s">
        <v>242</v>
      </c>
      <c r="AS3" s="59" t="s">
        <v>243</v>
      </c>
      <c r="AT3" s="59" t="s">
        <v>244</v>
      </c>
      <c r="AU3" s="59" t="s">
        <v>245</v>
      </c>
      <c r="AV3" s="59" t="s">
        <v>246</v>
      </c>
      <c r="AW3" s="59" t="s">
        <v>247</v>
      </c>
      <c r="AX3" s="59" t="s">
        <v>248</v>
      </c>
      <c r="AY3" s="59" t="s">
        <v>249</v>
      </c>
      <c r="AZ3" s="59" t="s">
        <v>250</v>
      </c>
      <c r="BA3" s="59" t="s">
        <v>251</v>
      </c>
      <c r="BB3" s="59" t="s">
        <v>252</v>
      </c>
      <c r="BC3" s="59" t="s">
        <v>253</v>
      </c>
      <c r="BD3" s="59" t="s">
        <v>254</v>
      </c>
      <c r="BE3" s="59" t="s">
        <v>255</v>
      </c>
      <c r="BF3" s="59" t="s">
        <v>256</v>
      </c>
      <c r="BG3" s="59" t="s">
        <v>257</v>
      </c>
      <c r="BH3" s="59" t="s">
        <v>258</v>
      </c>
      <c r="BI3" s="59" t="s">
        <v>259</v>
      </c>
      <c r="BJ3" s="59" t="s">
        <v>260</v>
      </c>
      <c r="BK3" s="59" t="s">
        <v>261</v>
      </c>
      <c r="BL3" s="59" t="s">
        <v>262</v>
      </c>
      <c r="BM3" s="59" t="s">
        <v>263</v>
      </c>
      <c r="BN3" s="59" t="s">
        <v>264</v>
      </c>
      <c r="BO3" s="59" t="s">
        <v>265</v>
      </c>
      <c r="BP3" s="59" t="s">
        <v>266</v>
      </c>
      <c r="BQ3" s="59" t="s">
        <v>267</v>
      </c>
      <c r="BR3" s="59" t="s">
        <v>268</v>
      </c>
      <c r="BS3" s="59" t="s">
        <v>269</v>
      </c>
      <c r="BT3" s="59" t="s">
        <v>270</v>
      </c>
      <c r="BU3" s="59" t="s">
        <v>271</v>
      </c>
      <c r="BV3" s="59" t="s">
        <v>272</v>
      </c>
      <c r="BW3" s="59" t="s">
        <v>273</v>
      </c>
      <c r="BX3" s="59" t="s">
        <v>274</v>
      </c>
      <c r="BY3" s="59" t="s">
        <v>275</v>
      </c>
      <c r="BZ3" s="59" t="s">
        <v>276</v>
      </c>
      <c r="CA3" s="59" t="s">
        <v>277</v>
      </c>
      <c r="CB3" s="59" t="s">
        <v>278</v>
      </c>
      <c r="CC3" s="59" t="s">
        <v>279</v>
      </c>
      <c r="CD3" s="59" t="s">
        <v>280</v>
      </c>
      <c r="CE3" s="59" t="s">
        <v>281</v>
      </c>
      <c r="CF3" s="59" t="s">
        <v>282</v>
      </c>
      <c r="CG3" s="59" t="s">
        <v>283</v>
      </c>
      <c r="CH3" s="59" t="s">
        <v>284</v>
      </c>
      <c r="CI3" s="59" t="s">
        <v>285</v>
      </c>
      <c r="CJ3" s="59" t="s">
        <v>286</v>
      </c>
      <c r="CK3" s="59" t="s">
        <v>287</v>
      </c>
      <c r="CL3" s="59" t="s">
        <v>297</v>
      </c>
      <c r="CM3" s="59" t="s">
        <v>288</v>
      </c>
      <c r="CN3" s="59" t="s">
        <v>289</v>
      </c>
      <c r="CO3" s="59" t="s">
        <v>290</v>
      </c>
      <c r="CP3" s="59" t="s">
        <v>296</v>
      </c>
      <c r="CQ3" s="59" t="s">
        <v>291</v>
      </c>
      <c r="CR3" s="59" t="s">
        <v>205</v>
      </c>
      <c r="CS3" s="59" t="s">
        <v>207</v>
      </c>
      <c r="CT3" s="59" t="s">
        <v>295</v>
      </c>
      <c r="CU3" s="59" t="s">
        <v>206</v>
      </c>
      <c r="CV3" s="59" t="s">
        <v>203</v>
      </c>
      <c r="CW3" s="59" t="s">
        <v>204</v>
      </c>
      <c r="CX3" s="49" t="s">
        <v>292</v>
      </c>
      <c r="CY3" s="48" t="s">
        <v>125</v>
      </c>
      <c r="CZ3" s="47" t="s">
        <v>126</v>
      </c>
      <c r="DA3" s="47" t="s">
        <v>127</v>
      </c>
      <c r="DB3" s="47" t="s">
        <v>128</v>
      </c>
      <c r="DC3" s="46" t="s">
        <v>293</v>
      </c>
      <c r="DD3" s="48" t="s">
        <v>131</v>
      </c>
      <c r="DE3" s="47" t="s">
        <v>132</v>
      </c>
      <c r="DF3" s="47" t="s">
        <v>133</v>
      </c>
      <c r="DG3" s="47" t="s">
        <v>134</v>
      </c>
      <c r="DH3" s="47" t="s">
        <v>135</v>
      </c>
      <c r="DI3" s="47" t="s">
        <v>136</v>
      </c>
      <c r="DJ3" s="47" t="s">
        <v>137</v>
      </c>
      <c r="DK3" s="46" t="s">
        <v>198</v>
      </c>
      <c r="DL3" s="48" t="s">
        <v>294</v>
      </c>
      <c r="DM3" s="66" t="s">
        <v>168</v>
      </c>
      <c r="DN3" s="62" t="s">
        <v>174</v>
      </c>
      <c r="DP3"/>
    </row>
    <row r="4" spans="1:120" ht="15.75" customHeight="1">
      <c r="A4" s="65" t="s">
        <v>2</v>
      </c>
      <c r="B4" s="32" t="s">
        <v>154</v>
      </c>
      <c r="C4" s="32" t="s">
        <v>95</v>
      </c>
      <c r="D4" s="32" t="s">
        <v>155</v>
      </c>
      <c r="E4" s="33" t="s">
        <v>201</v>
      </c>
      <c r="F4" s="39">
        <f>IFERROR(IF(A4="",0,VLOOKUP(A4,'Estoque-Imóvel'!A:AC,6,FALSE)),"ID não encontrado")</f>
        <v>2</v>
      </c>
      <c r="G4" s="40">
        <f>IF(F4=0,0,IF(F4="ID não encontrado",0,IFERROR(VLOOKUP($F$2,'BD - Itens x Peso'!$A:$B,2,FALSE),"Nome ou Peso não encontrado")))</f>
        <v>0.24</v>
      </c>
      <c r="H4" s="41">
        <f>IFERROR(IF(C4="","Cidade não foi inserida",IF(F4=0,0,VLOOKUP(C4,'BD - Valor Lavanderia Por Item'!A:R,2,FALSE))),"Cidade não encontrada")</f>
        <v>2.7519999999999998</v>
      </c>
      <c r="I4" s="42">
        <f>IFERROR(IF(AND('TaxaLimpeza (Proposta)'!$A4&lt;&gt;"", COUNTIF('Configuração-Imóvel'!$A:$A, $A4)&gt;0), H4*G4*F4,"ID não encontrado"),H4)</f>
        <v>1.3209599999999999</v>
      </c>
      <c r="J4" s="43">
        <f>IFERROR(IF(A4="",0,VLOOKUP(A4,'Estoque-Imóvel'!A:AC,7,FALSE)),"ID não encontrado")</f>
        <v>2</v>
      </c>
      <c r="K4" s="40">
        <f>IF(J4=0,0,IF(J4="ID não encontrado",0,IFERROR(VLOOKUP($J$2,'BD - Itens x Peso'!$A:$B,2,FALSE),"Nome ou Peso não encontrado")))</f>
        <v>0.16</v>
      </c>
      <c r="L4" s="41">
        <f>IFERROR(IF(C4="","Cidade não foi inserida",IF(J4=0,0,VLOOKUP(C4,'BD - Valor Lavanderia Por Item'!A:R,3,FALSE))),"Cidade não encontrada")</f>
        <v>3.5345</v>
      </c>
      <c r="M4" s="41">
        <f>IFERROR(IF(AND('TaxaLimpeza (Proposta)'!$A4&lt;&gt;"", COUNTIF('Configuração-Imóvel'!$A:$A, $A4)&gt;0), L4*K4*J4,"ID não encontrado"),Tabela1[[#This Row],[Valor por lavanderia '[R$/Kg']4]])</f>
        <v>1.13104</v>
      </c>
      <c r="N4" s="44">
        <f>IFERROR(IF(A4="",0,VLOOKUP(A4,'Estoque-Imóvel'!A:AC,8,FALSE)),"ID não encontrado")</f>
        <v>0</v>
      </c>
      <c r="O4" s="40">
        <f>IF(N4=0,0,IF(N4="ID não encontrado",0,IFERROR(VLOOKUP($N$2,'BD - Itens x Peso'!$A:$B,2,FALSE),"Nome ou Peso não encontrado")))</f>
        <v>0</v>
      </c>
      <c r="P4" s="42">
        <f>IFERROR(IF(C4="","Cidade não foi inserida",IF(N4=0,0,VLOOKUP(C4,'BD - Valor Lavanderia Por Item'!A:R,2,FALSE))),"Cidade não encontrada")</f>
        <v>0</v>
      </c>
      <c r="Q4" s="42">
        <f>IFERROR(IF(AND('TaxaLimpeza (Proposta)'!$A4&lt;&gt;"", COUNTIF('Configuração-Imóvel'!$A:$A, $A4)&gt;0), P4*O4*N4,"ID não encontrado"),Tabela1[[#This Row],[Valor por lavanderia '[R$/Kg']8]])</f>
        <v>0</v>
      </c>
      <c r="R4" s="44">
        <f>IFERROR(IF(A4="",0,VLOOKUP(A4,'Estoque-Imóvel'!A:AC,9,FALSE)),"ID não encontrado")</f>
        <v>7</v>
      </c>
      <c r="S4" s="40">
        <f>IF(R4=0,0,IF(R4="ID não encontrado",0,IFERROR(VLOOKUP($R$2,'BD - Itens x Peso'!$A:$B,2,FALSE),"Nome ou Peso não encontrado")))</f>
        <v>0.39</v>
      </c>
      <c r="T4" s="42">
        <f>IFERROR(IF(C4="","Cidade não foi inserida",IF(R4=0,0,VLOOKUP(C4,'BD - Valor Lavanderia Por Item'!A:R,4,FALSE))),"Cidade não encontrada")</f>
        <v>4.7865000000000002</v>
      </c>
      <c r="U4" s="42">
        <f>IFERROR(IF(AND('TaxaLimpeza (Proposta)'!$A4&lt;&gt;"", COUNTIF('Configuração-Imóvel'!$A:$A, $A4)&gt;0), T4*S4*R4,"ID não encontrado"),Tabela1[[#This Row],[Valor por lavanderia '[R$/Kg']12]])</f>
        <v>13.067145</v>
      </c>
      <c r="V4" s="44">
        <f>IFERROR(IF(A4="",0,VLOOKUP(A4,'Estoque-Imóvel'!A:AC,10,FALSE)),"ID não encontrado")</f>
        <v>0</v>
      </c>
      <c r="W4" s="40">
        <f>IF(V4=0,0,IF(V4="ID não encontrado",0,IFERROR(VLOOKUP($V$2,'BD - Itens x Peso'!$A:$B,2,FALSE),"Nome ou Peso não encontrado")))</f>
        <v>0</v>
      </c>
      <c r="X4" s="42">
        <f>IFERROR(IF(C4="","Cidade não foi inserida",IF(V4=0,0,VLOOKUP(C4,'BD - Valor Lavanderia Por Item'!A:R,3,FALSE))),"Cidade não encontrada")</f>
        <v>0</v>
      </c>
      <c r="Y4" s="42">
        <f>IFERROR(IF(AND('TaxaLimpeza (Proposta)'!$A4&lt;&gt;"", COUNTIF('Configuração-Imóvel'!$A:$A, $A4)&gt;0), X4*W4*V4,"ID não encontrado"),Tabela1[[#This Row],[Valor por lavanderia '[R$/Kg']16]])</f>
        <v>0</v>
      </c>
      <c r="Z4" s="44">
        <f>IFERROR(IF(A4="",0,VLOOKUP(A4,'Estoque-Imóvel'!A:AC,11,FALSE)),"ID não encontrado")</f>
        <v>0</v>
      </c>
      <c r="AA4" s="40">
        <f>IF(Z4=0,0,IF(Z4="ID não encontrado",0,IFERROR(VLOOKUP($Z$2,'BD - Itens x Peso'!$A:$B,2,FALSE),"Nome ou Peso não encontrado")))</f>
        <v>0</v>
      </c>
      <c r="AB4" s="42">
        <f>IFERROR(IF(C4="","Cidade não foi inserida",IF(Z4=0,0,VLOOKUP(C4,'BD - Valor Lavanderia Por Item'!A:R,3,FALSE))),"Cidade não encontrada")</f>
        <v>0</v>
      </c>
      <c r="AC4" s="42">
        <f>IFERROR(IF(AND('TaxaLimpeza (Proposta)'!$A4&lt;&gt;"", COUNTIF('Configuração-Imóvel'!$A:$A, $A4)&gt;0), AB4*AA4*Z4,"ID não encontrado"),Tabela1[[#This Row],[Valor por lavanderia '[R$/Kg']20]])</f>
        <v>0</v>
      </c>
      <c r="AD4" s="44">
        <f>IFERROR(IF(A4="",0,VLOOKUP(A4,'Estoque-Imóvel'!A:AC,12,FALSE)),"ID não encontrado")</f>
        <v>1</v>
      </c>
      <c r="AE4" s="40">
        <f>IF(AD4=0,0,IF(AD4="ID não encontrado",0,IFERROR(VLOOKUP($AD$2,'BD - Itens x Peso'!$A:$B,2,FALSE),"Nome ou Peso não encontrado")))</f>
        <v>1.01</v>
      </c>
      <c r="AF4" s="42">
        <f>IFERROR(IF(C4="","Cidade não foi inserida",IF(AD4=0,0,VLOOKUP(C4,'BD - Valor Lavanderia Por Item'!A:R,9,FALSE))),"Cidade não encontrada")</f>
        <v>9.3249999999999993</v>
      </c>
      <c r="AG4" s="42">
        <f>IFERROR(IF(AND('TaxaLimpeza (Proposta)'!$A4&lt;&gt;"", COUNTIF('Configuração-Imóvel'!$A:$A, $A4)&gt;0), AF4*AE4*AD4,"ID não encontrado"),Tabela1[[#This Row],[Valor por lavanderia '[R$/Kg']24]])</f>
        <v>9.4182499999999987</v>
      </c>
      <c r="AH4" s="44">
        <f>IFERROR(IF(A4="",0,VLOOKUP(A4,'Estoque-Imóvel'!A:AC,13,FALSE)),"ID não encontrado")</f>
        <v>2</v>
      </c>
      <c r="AI4" s="40">
        <f>IF(AH4=0,0,IF(AH4="ID não encontrado",0,IFERROR(VLOOKUP($AH$2,'BD - Itens x Peso'!$A:$B,2,FALSE),"Nome ou Peso não encontrado")))</f>
        <v>0.3</v>
      </c>
      <c r="AJ4" s="42">
        <f>IFERROR(IF(C4="","Cidade não foi inserida",IF(AH4=0,0,VLOOKUP(C4,'BD - Valor Lavanderia Por Item'!A:R,6,FALSE))),"Cidade não encontrada")</f>
        <v>6.1950000000000003</v>
      </c>
      <c r="AK4" s="42">
        <f>IFERROR(IF(AND('TaxaLimpeza (Proposta)'!$A4&lt;&gt;"", COUNTIF('Configuração-Imóvel'!$A:$A, $A4)&gt;0), AJ4*AI4*AH4,"ID não encontrado"),Tabela1[[#This Row],[Valor por lavanderia '[R$/Kg']28]])</f>
        <v>3.7170000000000001</v>
      </c>
      <c r="AL4" s="44">
        <f>IFERROR(IF(A4="",0,VLOOKUP(A4,'Estoque-Imóvel'!A:AC,14,FALSE)),"ID não encontrado")</f>
        <v>0</v>
      </c>
      <c r="AM4" s="40">
        <f>IF(AL4=0,0,IF(AL4="ID não encontrado",0,IFERROR(VLOOKUP($AL$2,'BD - Itens x Peso'!$A:$B,2,FALSE),"Nome ou Peso não encontrado")))</f>
        <v>0</v>
      </c>
      <c r="AN4" s="42">
        <f>IFERROR(IF(C4="","Cidade não foi inserida",IF(AL4=0,0,VLOOKUP(C4,'BD - Valor Lavanderia Por Item'!A:R,8,FALSE))),"Cidade não encontrada")</f>
        <v>0</v>
      </c>
      <c r="AO4" s="42">
        <f>IFERROR(IF(AND('TaxaLimpeza (Proposta)'!$A4&lt;&gt;"", COUNTIF('Configuração-Imóvel'!$A:$A, $A4)&gt;0), AN4*AM4*AL4,"ID não encontrado"),Tabela1[[#This Row],[Valor por lavanderia '[R$/Kg']32]])</f>
        <v>0</v>
      </c>
      <c r="AP4" s="44">
        <f>IFERROR(IF(A4="",0,VLOOKUP(A4,'Estoque-Imóvel'!A:AC,15,FALSE)),"ID não encontrado")</f>
        <v>0</v>
      </c>
      <c r="AQ4" s="40">
        <f>IF(AP4=0,0,IF(AP4="ID não encontrado",0,IFERROR(VLOOKUP($AP$2,'BD - Itens x Peso'!$A:$B,2,FALSE),"Nome ou Peso não encontrado")))</f>
        <v>0</v>
      </c>
      <c r="AR4" s="42">
        <f>IFERROR(IF(C4="","Cidade não foi inserida",IF(AP4=0,0,VLOOKUP(C4,'BD - Valor Lavanderia Por Item'!A:R,8,FALSE))),"Cidade não encontrada")</f>
        <v>0</v>
      </c>
      <c r="AS4" s="42">
        <f>IFERROR(IF(AND('TaxaLimpeza (Proposta)'!$A4&lt;&gt;"", COUNTIF('Configuração-Imóvel'!$A:$A, $A4)&gt;0), AR4*AQ4*AP4,"ID não encontrado"),Tabela1[[#This Row],[Valor por lavanderia '[R$/Kg']36]])</f>
        <v>0</v>
      </c>
      <c r="AT4" s="44">
        <f>IFERROR(IF(A4="",0,VLOOKUP(A4,'Estoque-Imóvel'!A:AC,16,FALSE)),"ID não encontrado")</f>
        <v>6</v>
      </c>
      <c r="AU4" s="40">
        <f>IF(AT4=0,0,IF(AT4="ID não encontrado",0,IFERROR(VLOOKUP($AT$2,'BD - Itens x Peso'!$A:$B,2,FALSE),"Nome ou Peso não encontrado")))</f>
        <v>0.3</v>
      </c>
      <c r="AV4" s="42">
        <f>IFERROR(IF(C4="","Cidade não foi inserida",IF(AT4=0,0,VLOOKUP(C4,'BD - Valor Lavanderia Por Item'!A:R,7,FALSE))),"Cidade não encontrada")</f>
        <v>6.9774999999999991</v>
      </c>
      <c r="AW4" s="42">
        <f>IFERROR(IF(AND('TaxaLimpeza (Proposta)'!$A4&lt;&gt;"", COUNTIF('Configuração-Imóvel'!$A:$A, $A4)&gt;0), AV4*AU4*AT4,"ID não encontrado"),Tabela1[[#This Row],[Valor por lavanderia '[R$/Kg']40]])</f>
        <v>12.5595</v>
      </c>
      <c r="AX4" s="44">
        <f>IFERROR(IF(A4="",0,VLOOKUP(A4,'Estoque-Imóvel'!A:AC,17,FALSE)),"Code não encontrado")</f>
        <v>7</v>
      </c>
      <c r="AY4" s="40">
        <f>IF(AX4=0,0,IF(AX4="ID não encontrado",0,IFERROR(VLOOKUP($AX$2,'BD - Itens x Peso'!$A:$B,2,FALSE),"Nome ou Peso não encontrado")))</f>
        <v>0.19</v>
      </c>
      <c r="AZ4" s="42">
        <f>IFERROR(IF(C4="","Cidade não foi inserida",IF(AX4=0,0,VLOOKUP(C4,'BD - Valor Lavanderia Por Item'!A:R,5,FALSE))),"Cidade não encontrada")</f>
        <v>3.0649999999999999</v>
      </c>
      <c r="BA4" s="42">
        <f>IFERROR(IF(AND('TaxaLimpeza (Proposta)'!$A4&lt;&gt;"", COUNTIF('Configuração-Imóvel'!$A:$A, $A4)&gt;0), AZ4*AY4*AX4,"ID não encontrado"),Tabela1[[#This Row],[Valor por lavanderia '[R$/Kg']44]])</f>
        <v>4.0764500000000004</v>
      </c>
      <c r="BB4" s="44">
        <f>IFERROR(IF(A4="",0,VLOOKUP(A4,'Estoque-Imóvel'!A:AC,18,FALSE)),"ID não encontrado")</f>
        <v>0</v>
      </c>
      <c r="BC4" s="40">
        <f>IF(BB4=0,0,IF(BB4="ID não encontrado",0,IFERROR(VLOOKUP($BB$2,'BD - Itens x Peso'!$A:$B,2,FALSE),"Nome ou Peso não encontrado")))</f>
        <v>0</v>
      </c>
      <c r="BD4" s="42">
        <f>IFERROR(IF(C4="","Cidade não foi inserida",IF(BB4=0,0,VLOOKUP(C4,'BD - Valor Lavanderia Por Item'!A:R,11,FALSE))),"Cidade não encontrada")</f>
        <v>0</v>
      </c>
      <c r="BE4" s="42">
        <f>IFERROR(IF(AND('TaxaLimpeza (Proposta)'!$A4&lt;&gt;"", COUNTIF('Configuração-Imóvel'!$A:$A, $A4)&gt;0), BD4*BC4*BB4,"ID não encontrado"),Tabela1[[#This Row],[Valor por lavanderia '[R$/Kg']48]])</f>
        <v>0</v>
      </c>
      <c r="BF4" s="44">
        <f>IFERROR(IF(A4="",0,VLOOKUP(A4,'Estoque-Imóvel'!A:AC,19,FALSE)),"ID não encontrado")</f>
        <v>0</v>
      </c>
      <c r="BG4" s="40">
        <f>IF(BF4=0,0,IF(BF4="ID não encontrado",0,IFERROR(VLOOKUP($BF$2,'BD - Itens x Peso'!$A:$B,2,FALSE),"Nome ou Peso não encontrado")))</f>
        <v>0</v>
      </c>
      <c r="BH4" s="42">
        <f>IFERROR(IF(C4="","Cidade não foi inserida",IF(BF4=0,0,VLOOKUP(C4,'BD - Valor Lavanderia Por Item'!A:R,13,FALSE))),"Cidade não encontrada")</f>
        <v>0</v>
      </c>
      <c r="BI4" s="42">
        <f>IFERROR(IF(AND('TaxaLimpeza (Proposta)'!$A4&lt;&gt;"", COUNTIF('Configuração-Imóvel'!$A:$A, $A4)&gt;0), BH4*BG4*BF4,"ID não encontrado"),Tabela1[[#This Row],[Valor por lavanderia '[R$/Kg']52]])</f>
        <v>0</v>
      </c>
      <c r="BJ4" s="44">
        <f>IFERROR(IF(A4="",0,VLOOKUP(A4,'Estoque-Imóvel'!A:AC,20,FALSE)),"ID não encontrado")</f>
        <v>0</v>
      </c>
      <c r="BK4" s="40">
        <f>IF(BJ4=0,0,IF(BJ4="ID não encontrado",0,IFERROR(VLOOKUP($BJ$2,'BD - Itens x Peso'!$A:$B,2,FALSE),"Nome ou Peso não encontrado")))</f>
        <v>0</v>
      </c>
      <c r="BL4" s="42">
        <f>IFERROR(IF(C4="","Cidade não foi inserida",IF(BJ4=0,0,VLOOKUP(C4,'BD - Valor Lavanderia Por Item'!A:R,13,FALSE))),"Cidade não encontrada")</f>
        <v>0</v>
      </c>
      <c r="BM4" s="42">
        <f>IFERROR(IF(AND('TaxaLimpeza (Proposta)'!$A4&lt;&gt;"", COUNTIF('Configuração-Imóvel'!$A:$A, $A4)&gt;0), BL4*BK4*BJ4,"ID não encontrado"),Tabela1[[#This Row],[Valor por lavanderia '[R$/Kg']56]])</f>
        <v>0</v>
      </c>
      <c r="BN4" s="44">
        <f>IFERROR(IF(A4="",0,VLOOKUP(A4,'Estoque-Imóvel'!A:AC,21,FALSE)),"ID não encontrado")</f>
        <v>3</v>
      </c>
      <c r="BO4" s="40">
        <f>IF(BN4=0,0,IF(BN4="ID não encontrado",0,IFERROR(VLOOKUP($BN$2,'BD - Itens x Peso'!$A:$B,2,FALSE),"Nome ou Peso não encontrado")))</f>
        <v>1.1100000000000001</v>
      </c>
      <c r="BP4" s="42">
        <f>IFERROR(IF(C4="","Cidade não foi inserida",IF(BN4=0,0,VLOOKUP(C4,'BD - Valor Lavanderia Por Item'!A:R,13,FALSE))),"Cidade não encontrada")</f>
        <v>41.7575</v>
      </c>
      <c r="BQ4" s="42">
        <f>IFERROR(IF(AND('TaxaLimpeza (Proposta)'!$A4&lt;&gt;"", COUNTIF('Configuração-Imóvel'!$A:$A, $A4)&gt;0), BP4*BO4*BN4,"ID não encontrado"),Tabela1[[#This Row],[Valor por lavanderia '[R$/Kg']60]])</f>
        <v>139.05247500000002</v>
      </c>
      <c r="BR4" s="44">
        <f>IFERROR(IF(A4="",0,VLOOKUP(A4,'Estoque-Imóvel'!A:AC,22,FALSE)),"ID não encontrado")</f>
        <v>0</v>
      </c>
      <c r="BS4" s="40">
        <f>IF(BR4=0,0,IF(BR4="ID não encontrado",0,IFERROR(VLOOKUP($BR$2,'BD - Itens x Peso'!$A:$B,2,FALSE),"Nome ou Peso não encontrado. Utilizado o Edredom Solteiro como referência")))</f>
        <v>0</v>
      </c>
      <c r="BT4" s="42">
        <f>IFERROR(IF(C4="","Cidade não foi inserida",IF(BR4=0,0,VLOOKUP(C4,'BD - Valor Lavanderia Por Item'!A:R,11,FALSE))),"Cidade não encontrada")</f>
        <v>0</v>
      </c>
      <c r="BU4" s="42">
        <f>IFERROR(IF(AND('TaxaLimpeza (Proposta)'!$A4&lt;&gt;"", COUNTIF('Configuração-Imóvel'!$A:$A, $A4)&gt;0), BT4*BS4*BR4,"ID não encontrado"),BT4*VLOOKUP($BB$2,'BD - Itens x Peso'!$A:$B,2,FALSE)*BR4)</f>
        <v>0</v>
      </c>
      <c r="BV4" s="44">
        <f>IFERROR(IF(A4="",0,VLOOKUP(A4,'Estoque-Imóvel'!A:AC,23,FALSE)),"ID não encontrado")</f>
        <v>0</v>
      </c>
      <c r="BW4" s="40">
        <f>IF(BV4=0,0,IF(BV4="ID não encontrado",0,IFERROR(VLOOKUP($BV$2,'BD - Itens x Peso'!$A:$B,2,FALSE),"Nome ou Peso não encontrado. Utilizado o Edredom Queen Size como referência")))</f>
        <v>0</v>
      </c>
      <c r="BX4" s="42">
        <f>IFERROR(IF(C4="","Cidade não foi inserida",IF(BV4=0,0,VLOOKUP(C4,'BD - Valor Lavanderia Por Item'!A:R,13,FALSE))),"Cidade não encontrada")</f>
        <v>0</v>
      </c>
      <c r="BY4" s="42">
        <f>IFERROR(IF(AND('TaxaLimpeza (Proposta)'!$A4&lt;&gt;"",COUNTIF('Configuração-Imóvel'!$A:$A,$A4)&gt;0),BX4*BW4*BV4,"ID não encontrado"),BX4*(VLOOKUP($BF$2,'BD - Itens x Peso'!$A:$B,2,FALSE)*BV4))</f>
        <v>0</v>
      </c>
      <c r="BZ4" s="44">
        <f>IFERROR(IF(A4="",0,VLOOKUP(A4,'Estoque-Imóvel'!A:AC,24,FALSE)),"ID não encontrado")</f>
        <v>0</v>
      </c>
      <c r="CA4" s="40">
        <f>IF(BZ4=0,0,IF(BZ4="ID não encontrado",0,IFERROR(VLOOKUP($BZ$2,'BD - Itens x Peso'!$A:$B,2,FALSE),"Nome ou Peso não encontrado. Utilizado o peso do Edredom Casal como referência")))</f>
        <v>0</v>
      </c>
      <c r="CB4" s="42">
        <f>IFERROR(IF(C4="","Cidade não foi inserida",IF(BZ4=0,0,VLOOKUP(C4,'BD - Valor Lavanderia Por Item'!A:R,12,FALSE))),"Cidade não encontrada")</f>
        <v>0</v>
      </c>
      <c r="CC4" s="42">
        <f>IFERROR(IF(AND('TaxaLimpeza (Proposta)'!$A4&lt;&gt;"", COUNTIF('Configuração-Imóvel'!$A:$A, $A4)&gt;0), CB4*CA4*BZ4,"ID não encontrado"),VLOOKUP($BN$2,'BD - Itens x Peso'!$A:$B,2,FALSE)*CB4*BZ4)</f>
        <v>0</v>
      </c>
      <c r="CD4" s="44">
        <f>IFERROR(IF(A4="",0,VLOOKUP(A4,'Estoque-Imóvel'!A:AC,25,FALSE)),"ID não encontrado")</f>
        <v>0</v>
      </c>
      <c r="CE4" s="40">
        <f>IF(CD4=0,0,IF(CD4="ID não encontrado",0,IFERROR(VLOOKUP($CD$2,'BD - Itens x Peso'!$A:$B,2,FALSE),"Nome ou Peso não encontrado. Utilizado o Edredom Queen Size como referência")))</f>
        <v>0</v>
      </c>
      <c r="CF4" s="42">
        <f>IFERROR(IF(C4="","Cidade não foi inserida",IF(CD4=0,0,VLOOKUP(C4,'BD - Valor Lavanderia Por Item'!A:R,13,FALSE))),"Cidade não encontrada")</f>
        <v>0</v>
      </c>
      <c r="CG4" s="42">
        <f>IFERROR(IF(AND('TaxaLimpeza (Proposta)'!$A4&lt;&gt;"", COUNTIF('Configuração-Imóvel'!$A:$A, $A4)&gt;0), CF4*CE4*CD4,"ID não encontrado"),VLOOKUP($BF$2,'BD - Itens x Peso'!$A:$B,2,FALSE)*CF4*CD4)</f>
        <v>0</v>
      </c>
      <c r="CH4" s="44">
        <f>IFERROR(IF(A4="",0,VLOOKUP(A4,'Estoque-Imóvel'!A:AC,26,FALSE)),"ID não encontrado")</f>
        <v>0</v>
      </c>
      <c r="CI4" s="40">
        <f>IF(CH4=0,0,IF(CH4="ID não encontrado",0,IFERROR(VLOOKUP($CH$2,'BD - Itens x Peso'!$A:$B,2,FALSE),"Nome ou Peso não encontrado")))</f>
        <v>0</v>
      </c>
      <c r="CJ4" s="42">
        <f>IFERROR(IF(C4="","Cidade não foi inserida",IF(CH4=0,0,VLOOKUP(C4,'BD - Valor Lavanderia Por Item'!A:R,15,FALSE))),"Cidade não encontrada")</f>
        <v>0</v>
      </c>
      <c r="CK4" s="42">
        <f>IFERROR(IF(AND('TaxaLimpeza (Proposta)'!$A4&lt;&gt;"", COUNTIF('Configuração-Imóvel'!$A:$A, $A4)&gt;0), CJ4*CI4*CH4,"ID não encontrado"),Tabela1[[#This Row],[Valor por lavanderia '[R$/Kg']80]])</f>
        <v>0</v>
      </c>
      <c r="CL4" s="44">
        <f>IFERROR(IF(A4="",0,VLOOKUP(A4,'Estoque-Imóvel'!A:AC,27,FALSE)),"ID não encontrado")</f>
        <v>0</v>
      </c>
      <c r="CM4" s="40">
        <f>IF(CL4=0,0,IF(CL4="ID não encontrado",0,IFERROR(VLOOKUP($CL$2,'BD - Itens x Peso'!$A:$B,2,FALSE),"Nome ou Peso não encontrado")))</f>
        <v>0</v>
      </c>
      <c r="CN4" s="42">
        <f>IFERROR(IF(C4="","Cidade não foi inserida",IF(CL4=0,0,VLOOKUP(C4,'BD - Valor Lavanderia Por Item'!A:R,17,FALSE))),"Cidade não encontrada")</f>
        <v>0</v>
      </c>
      <c r="CO4" s="42">
        <f>IFERROR(IF(AND('TaxaLimpeza (Proposta)'!$A4&lt;&gt;"", COUNTIF('Configuração-Imóvel'!$A:$A, $A4)&gt;0), CN4*CM4*CL4,"ID não encontrado"),Tabela1[[#This Row],[Valor por lavanderia '[R$/Kg']84]])</f>
        <v>0</v>
      </c>
      <c r="CP4" s="44">
        <f>IFERROR(IF(A4="",0,VLOOKUP(A4,'Estoque-Imóvel'!A:AC,28,FALSE)),"ID não encontrado")</f>
        <v>0</v>
      </c>
      <c r="CQ4" s="40">
        <f>IF(CP4=0,0,IF(CP4="ID não encontrado",0,IFERROR(VLOOKUP($CP$2,'BD - Itens x Peso'!$A:$B,2,FALSE),"Nome ou Peso não encontrado")))</f>
        <v>0</v>
      </c>
      <c r="CR4" s="42">
        <f>IFERROR(IF(C4="","Cidade não foi inserida",IF(CP4=0,0,VLOOKUP(C4,'BD - Valor Lavanderia Por Item'!A:R,18,FALSE))),"Cidade não encontrada")</f>
        <v>0</v>
      </c>
      <c r="CS4" s="42">
        <f>IFERROR(IF(AND('TaxaLimpeza (Proposta)'!$A4&lt;&gt;"", COUNTIF('Configuração-Imóvel'!$A:$A, $A4)&gt;0), CR4*CQ4*CP4,"ID não encontrado"),Tabela1[[#This Row],[Valor por lavanderia '[R$/Kg']3]])</f>
        <v>0</v>
      </c>
      <c r="CT4" s="44">
        <f>IFERROR(IF(A4="",0,VLOOKUP(A4,'Estoque-Imóvel'!A:AC,29,FALSE)),"ID não encontrado")</f>
        <v>3</v>
      </c>
      <c r="CU4" s="40">
        <f>IF(CT4=0,0,IF(CT4="ID não encontrado",0,IFERROR(VLOOKUP($CT$2,'BD - Itens x Peso'!$A:$B,2,FALSE),"Nome ou Peso não encontrado")))</f>
        <v>1.56</v>
      </c>
      <c r="CV4" s="42">
        <f>IFERROR(IF(C4="","Cidade não foi inserida",IF(CT4=0,0,VLOOKUP(C4,'BD - Valor Lavanderia Por Item'!A:R,16,FALSE))),"Cidade não encontrada")</f>
        <v>16.457000000000001</v>
      </c>
      <c r="CW4" s="45">
        <f>IFERROR(IF(AND('TaxaLimpeza (Proposta)'!$A4&lt;&gt;"", COUNTIF('Configuração-Imóvel'!$A:$A, $A4)&gt;0), CV4*CU4*CT4,"ID não encontrado"),Tabela1[[#This Row],[Valor por lavanderia '[R$/Kg']2]])</f>
        <v>77.01876</v>
      </c>
      <c r="CX4" s="34">
        <f>IFERROR(IF(A4="","",I4+M4+Q4+U4+Y4+AC4+AG4+AK4+AO4+AS4+AW4+BA4+BE4+BI4+BM4+BQ4+BU4+BY4+CC4+CG4+CK4+CO4+CS4+CW4),"Dados com erro")</f>
        <v>261.36158</v>
      </c>
      <c r="CY4" s="68">
        <f>IFERROR(IF(A4="","",(VLOOKUP(A4,'Configuração-Imóvel'!$A$2:$R$21,16,FALSE)+VLOOKUP(A4,'Configuração-Imóvel'!$A$2:$R$21,17,FALSE))*VLOOKUP($CY$3,'BD - Amenities'!$B$2:$E$7,4,FALSE)),"ID não encontrado")</f>
        <v>0.5</v>
      </c>
      <c r="CZ4" s="69">
        <f>IFERROR(IF(A4="","",(VLOOKUP(A4,'Configuração-Imóvel'!$A$2:$R$21,16,FALSE)+VLOOKUP(A4,'Configuração-Imóvel'!$A$2:$R$21,17,FALSE))*VLOOKUP($CZ$3,'BD - Amenities'!$B$2:$E$7,4,FALSE)),"ID não encontrado")</f>
        <v>4</v>
      </c>
      <c r="DA4" s="69">
        <f>IFERROR(IF(A4="","",VLOOKUP(A4,'Configuração-Imóvel'!$A$2:$R$21,16,FALSE)*VLOOKUP($DA$3,'BD - Amenities'!$B$2:$E$7,4,FALSE)),"ID não encontrado")</f>
        <v>1.5</v>
      </c>
      <c r="DB4" s="69">
        <f>IFERROR(IF(A4="","",VLOOKUP(A4,'Configuração-Imóvel'!$A$2:$R$21,16,FALSE)*VLOOKUP($DB$3,'BD - Amenities'!$B$2:$E$7,4,FALSE)),"ID não encontrado")</f>
        <v>1.5</v>
      </c>
      <c r="DC4" s="35">
        <f>IFERROR(CY4+CZ4+DA4+DB4,"Erro no cálculo de Amenities")</f>
        <v>7.5</v>
      </c>
      <c r="DD4" s="37">
        <f>IFERROR(IF(A4="","",VLOOKUP($DD$3,'BD - Material de Limpeza'!$A:$D,4,FALSE)),"ID não encontrado")</f>
        <v>2</v>
      </c>
      <c r="DE4" s="38">
        <f>IFERROR(IF(A4="","",VLOOKUP($DE$3,'BD - Material de Limpeza'!$A:$D,4,FALSE)),"ID não encontrado")</f>
        <v>2</v>
      </c>
      <c r="DF4" s="38">
        <f>IFERROR(IF(A4="","",VLOOKUP($DF$3,'BD - Material de Limpeza'!$A:$D,4,FALSE)),"ID não encontrado")</f>
        <v>1</v>
      </c>
      <c r="DG4" s="38">
        <f>IFERROR(IF(A4="","",VLOOKUP($DG$3,'BD - Material de Limpeza'!$A:$D,4,FALSE)),"ID não encontrado")</f>
        <v>1</v>
      </c>
      <c r="DH4" s="38">
        <f>IFERROR(IF(A4="","",VLOOKUP($DH$3,'BD - Material de Limpeza'!$A:$D,4,FALSE)),"ID não encontrado")</f>
        <v>1</v>
      </c>
      <c r="DI4" s="38">
        <f>IFERROR(IF(A4="","",VLOOKUP($DI$3,'BD - Material de Limpeza'!$A:$D,4,FALSE)),"ID não encontrado")</f>
        <v>1</v>
      </c>
      <c r="DJ4" s="38">
        <f>IFERROR(IF(A4="","",VLOOKUP($DJ$3,'BD - Material de Limpeza'!$A:$D,4,FALSE)),"ID não encontrado")</f>
        <v>1</v>
      </c>
      <c r="DK4" s="36">
        <f t="shared" ref="DK4:DK23" si="0">IFERROR(DD4+DE4+DF4+DG4+DH4+DI4+DJ4,"Erro")</f>
        <v>9</v>
      </c>
      <c r="DL4" s="72" cm="1">
        <f t="array" ref="DL4">IFERROR(IF('TaxaLimpeza (Proposta)'!$A4="","",INDEX('BD - Valor Limpeza Diarista'!B:B,INDEX('Configuração-Imóvel'!O:O,MATCH(A4,'Configuração-Imóvel'!A:A,0))+1,0)),"ID não encontrado")</f>
        <v>220</v>
      </c>
      <c r="DM4" s="67">
        <f>SUM(CX4,DC4,DK4,DL4)*1.1</f>
        <v>547.647738</v>
      </c>
      <c r="DN4" s="23" t="s">
        <v>175</v>
      </c>
      <c r="DP4" s="74"/>
    </row>
    <row r="5" spans="1:120" ht="15.75" customHeight="1">
      <c r="A5" s="65" t="s">
        <v>3</v>
      </c>
      <c r="B5" s="32" t="s">
        <v>154</v>
      </c>
      <c r="C5" s="32" t="s">
        <v>95</v>
      </c>
      <c r="D5" s="32" t="s">
        <v>155</v>
      </c>
      <c r="E5" s="33" t="s">
        <v>201</v>
      </c>
      <c r="F5" s="39">
        <f>IFERROR(IF(A5="",0,VLOOKUP(A5,'Estoque-Imóvel'!A:AC,6,FALSE)),"ID não encontrado")</f>
        <v>1</v>
      </c>
      <c r="G5" s="40">
        <f>IF(F5=0,0,IF(F5="ID não encontrado",0,IFERROR(VLOOKUP($F$2,'BD - Itens x Peso'!$A:$B,2,FALSE),"Nome ou Peso não encontrado")))</f>
        <v>0.24</v>
      </c>
      <c r="H5" s="41">
        <f>IFERROR(IF(C5="","Cidade não foi inserida",IF(F5=0,0,VLOOKUP(C5,'BD - Valor Lavanderia Por Item'!A:R,2,FALSE))),"Cidade não encontrada")</f>
        <v>2.7519999999999998</v>
      </c>
      <c r="I5" s="42">
        <f>IFERROR(IF(AND('TaxaLimpeza (Proposta)'!$A5&lt;&gt;"", COUNTIF('Configuração-Imóvel'!$A:$A, $A5)&gt;0), H5*G5*F5,"ID não encontrado"),H5)</f>
        <v>0.66047999999999996</v>
      </c>
      <c r="J5" s="43">
        <f>IFERROR(IF(A5="",0,VLOOKUP(A5,'Estoque-Imóvel'!A:AC,7,FALSE)),"ID não encontrado")</f>
        <v>1</v>
      </c>
      <c r="K5" s="40">
        <f>IF(J5=0,0,IF(J5="ID não encontrado",0,IFERROR(VLOOKUP($J$2,'BD - Itens x Peso'!$A:$B,2,FALSE),"Nome ou Peso não encontrado")))</f>
        <v>0.16</v>
      </c>
      <c r="L5" s="41">
        <f>IFERROR(IF(C5="","Cidade não foi inserida",IF(J5=0,0,VLOOKUP(C5,'BD - Valor Lavanderia Por Item'!A:R,3,FALSE))),"Cidade não encontrada")</f>
        <v>3.5345</v>
      </c>
      <c r="M5" s="41">
        <f>IFERROR(IF(AND('TaxaLimpeza (Proposta)'!$A5&lt;&gt;"", COUNTIF('Configuração-Imóvel'!$A:$A, $A5)&gt;0), L5*K5*J5,"ID não encontrado"),Tabela1[[#This Row],[Valor por lavanderia '[R$/Kg']4]])</f>
        <v>0.56552000000000002</v>
      </c>
      <c r="N5" s="44">
        <f>IFERROR(IF(A5="",0,VLOOKUP(A5,'Estoque-Imóvel'!A:AC,8,FALSE)),"ID não encontrado")</f>
        <v>0</v>
      </c>
      <c r="O5" s="40">
        <f>IF(N5=0,0,IF(N5="ID não encontrado",0,IFERROR(VLOOKUP($N$2,'BD - Itens x Peso'!$A:$B,2,FALSE),"Nome ou Peso não encontrado")))</f>
        <v>0</v>
      </c>
      <c r="P5" s="42">
        <f>IFERROR(IF(C5="","Cidade não foi inserida",IF(N5=0,0,VLOOKUP(C5,'BD - Valor Lavanderia Por Item'!A:R,2,FALSE))),"Cidade não encontrada")</f>
        <v>0</v>
      </c>
      <c r="Q5" s="42">
        <f>IFERROR(IF(AND('TaxaLimpeza (Proposta)'!$A5&lt;&gt;"", COUNTIF('Configuração-Imóvel'!$A:$A, $A5)&gt;0), P5*O5*N5,"ID não encontrado"),Tabela1[[#This Row],[Valor por lavanderia '[R$/Kg']8]])</f>
        <v>0</v>
      </c>
      <c r="R5" s="44">
        <f>IFERROR(IF(A5="",0,VLOOKUP(A5,'Estoque-Imóvel'!A:AC,9,FALSE)),"ID não encontrado")</f>
        <v>4</v>
      </c>
      <c r="S5" s="40">
        <f>IF(R5=0,0,IF(R5="ID não encontrado",0,IFERROR(VLOOKUP($R$2,'BD - Itens x Peso'!$A:$B,2,FALSE),"Nome ou Peso não encontrado")))</f>
        <v>0.39</v>
      </c>
      <c r="T5" s="42">
        <f>IFERROR(IF(C5="","Cidade não foi inserida",IF(R5=0,0,VLOOKUP(C5,'BD - Valor Lavanderia Por Item'!A:R,4,FALSE))),"Cidade não encontrada")</f>
        <v>4.7865000000000002</v>
      </c>
      <c r="U5" s="42">
        <f>IFERROR(IF(AND('TaxaLimpeza (Proposta)'!$A5&lt;&gt;"", COUNTIF('Configuração-Imóvel'!$A:$A, $A5)&gt;0), T5*S5*R5,"ID não encontrado"),Tabela1[[#This Row],[Valor por lavanderia '[R$/Kg']12]])</f>
        <v>7.4669400000000001</v>
      </c>
      <c r="V5" s="44">
        <f>IFERROR(IF(A5="",0,VLOOKUP(A5,'Estoque-Imóvel'!A:AC,10,FALSE)),"ID não encontrado")</f>
        <v>0</v>
      </c>
      <c r="W5" s="40">
        <f>IF(V5=0,0,IF(V5="ID não encontrado",0,IFERROR(VLOOKUP($V$2,'BD - Itens x Peso'!$A:$B,2,FALSE),"Nome ou Peso não encontrado")))</f>
        <v>0</v>
      </c>
      <c r="X5" s="42">
        <f>IFERROR(IF(C5="","Cidade não foi inserida",IF(V5=0,0,VLOOKUP(C5,'BD - Valor Lavanderia Por Item'!A:R,3,FALSE))),"Cidade não encontrada")</f>
        <v>0</v>
      </c>
      <c r="Y5" s="42">
        <f>IFERROR(IF(AND('TaxaLimpeza (Proposta)'!$A5&lt;&gt;"", COUNTIF('Configuração-Imóvel'!$A:$A, $A5)&gt;0), X5*W5*V5,"ID não encontrado"),Tabela1[[#This Row],[Valor por lavanderia '[R$/Kg']16]])</f>
        <v>0</v>
      </c>
      <c r="Z5" s="44">
        <f>IFERROR(IF(A5="",0,VLOOKUP(A5,'Estoque-Imóvel'!A:AC,11,FALSE)),"ID não encontrado")</f>
        <v>0</v>
      </c>
      <c r="AA5" s="40">
        <f>IF(Z5=0,0,IF(Z5="ID não encontrado",0,IFERROR(VLOOKUP($Z$2,'BD - Itens x Peso'!$A:$B,2,FALSE),"Nome ou Peso não encontrado")))</f>
        <v>0</v>
      </c>
      <c r="AB5" s="42">
        <f>IFERROR(IF(C5="","Cidade não foi inserida",IF(Z5=0,0,VLOOKUP(C5,'BD - Valor Lavanderia Por Item'!A:R,3,FALSE))),"Cidade não encontrada")</f>
        <v>0</v>
      </c>
      <c r="AC5" s="42">
        <f>IFERROR(IF(AND('TaxaLimpeza (Proposta)'!$A5&lt;&gt;"", COUNTIF('Configuração-Imóvel'!$A:$A, $A5)&gt;0), AB5*AA5*Z5,"ID não encontrado"),Tabela1[[#This Row],[Valor por lavanderia '[R$/Kg']20]])</f>
        <v>0</v>
      </c>
      <c r="AD5" s="44">
        <f>IFERROR(IF(A5="",0,VLOOKUP(A5,'Estoque-Imóvel'!A:AC,12,FALSE)),"ID não encontrado")</f>
        <v>0</v>
      </c>
      <c r="AE5" s="40">
        <f>IF(AD5=0,0,IF(AD5="ID não encontrado",0,IFERROR(VLOOKUP($AD$2,'BD - Itens x Peso'!$A:$B,2,FALSE),"Nome ou Peso não encontrado")))</f>
        <v>0</v>
      </c>
      <c r="AF5" s="42">
        <f>IFERROR(IF(C5="","Cidade não foi inserida",IF(AD5=0,0,VLOOKUP(C5,'BD - Valor Lavanderia Por Item'!A:R,9,FALSE))),"Cidade não encontrada")</f>
        <v>0</v>
      </c>
      <c r="AG5" s="42">
        <f>IFERROR(IF(AND('TaxaLimpeza (Proposta)'!$A5&lt;&gt;"", COUNTIF('Configuração-Imóvel'!$A:$A, $A5)&gt;0), AF5*AE5*AD5,"ID não encontrado"),Tabela1[[#This Row],[Valor por lavanderia '[R$/Kg']24]])</f>
        <v>0</v>
      </c>
      <c r="AH5" s="44">
        <f>IFERROR(IF(A5="",0,VLOOKUP(A5,'Estoque-Imóvel'!A:AC,13,FALSE)),"ID não encontrado")</f>
        <v>0</v>
      </c>
      <c r="AI5" s="40">
        <f>IF(AH5=0,0,IF(AH5="ID não encontrado",0,IFERROR(VLOOKUP($AH$2,'BD - Itens x Peso'!$A:$B,2,FALSE),"Nome ou Peso não encontrado")))</f>
        <v>0</v>
      </c>
      <c r="AJ5" s="42">
        <f>IFERROR(IF(C5="","Cidade não foi inserida",IF(AH5=0,0,VLOOKUP(C5,'BD - Valor Lavanderia Por Item'!A:R,6,FALSE))),"Cidade não encontrada")</f>
        <v>0</v>
      </c>
      <c r="AK5" s="42">
        <f>IFERROR(IF(AND('TaxaLimpeza (Proposta)'!$A5&lt;&gt;"", COUNTIF('Configuração-Imóvel'!$A:$A, $A5)&gt;0), AJ5*AI5*AH5,"ID não encontrado"),Tabela1[[#This Row],[Valor por lavanderia '[R$/Kg']28]])</f>
        <v>0</v>
      </c>
      <c r="AL5" s="44">
        <f>IFERROR(IF(A5="",0,VLOOKUP(A5,'Estoque-Imóvel'!A:AC,14,FALSE)),"ID não encontrado")</f>
        <v>4</v>
      </c>
      <c r="AM5" s="40">
        <f>IF(AL5=0,0,IF(AL5="ID não encontrado",0,IFERROR(VLOOKUP($AL$2,'BD - Itens x Peso'!$A:$B,2,FALSE),"Nome ou Peso não encontrado")))</f>
        <v>0.3</v>
      </c>
      <c r="AN5" s="42">
        <f>IFERROR(IF(C5="","Cidade não foi inserida",IF(AL5=0,0,VLOOKUP(C5,'BD - Valor Lavanderia Por Item'!A:R,8,FALSE))),"Cidade não encontrada")</f>
        <v>8.5425000000000004</v>
      </c>
      <c r="AO5" s="42">
        <f>IFERROR(IF(AND('TaxaLimpeza (Proposta)'!$A5&lt;&gt;"", COUNTIF('Configuração-Imóvel'!$A:$A, $A5)&gt;0), AN5*AM5*AL5,"ID não encontrado"),Tabela1[[#This Row],[Valor por lavanderia '[R$/Kg']32]])</f>
        <v>10.250999999999999</v>
      </c>
      <c r="AP5" s="44">
        <f>IFERROR(IF(A5="",0,VLOOKUP(A5,'Estoque-Imóvel'!A:AC,15,FALSE)),"ID não encontrado")</f>
        <v>0</v>
      </c>
      <c r="AQ5" s="40">
        <f>IF(AP5=0,0,IF(AP5="ID não encontrado",0,IFERROR(VLOOKUP($AP$2,'BD - Itens x Peso'!$A:$B,2,FALSE),"Nome ou Peso não encontrado")))</f>
        <v>0</v>
      </c>
      <c r="AR5" s="42">
        <f>IFERROR(IF(C5="","Cidade não foi inserida",IF(AP5=0,0,VLOOKUP(C5,'BD - Valor Lavanderia Por Item'!A:R,8,FALSE))),"Cidade não encontrada")</f>
        <v>0</v>
      </c>
      <c r="AS5" s="42">
        <f>IFERROR(IF(AND('TaxaLimpeza (Proposta)'!$A5&lt;&gt;"", COUNTIF('Configuração-Imóvel'!$A:$A, $A5)&gt;0), AR5*AQ5*AP5,"ID não encontrado"),Tabela1[[#This Row],[Valor por lavanderia '[R$/Kg']36]])</f>
        <v>0</v>
      </c>
      <c r="AT5" s="44">
        <f>IFERROR(IF(A5="",0,VLOOKUP(A5,'Estoque-Imóvel'!A:AC,16,FALSE)),"ID não encontrado")</f>
        <v>0</v>
      </c>
      <c r="AU5" s="40">
        <f>IF(AT5=0,0,IF(AT5="ID não encontrado",0,IFERROR(VLOOKUP($AT$2,'BD - Itens x Peso'!$A:$B,2,FALSE),"Nome ou Peso não encontrado")))</f>
        <v>0</v>
      </c>
      <c r="AV5" s="42">
        <f>IFERROR(IF(C5="","Cidade não foi inserida",IF(AT5=0,0,VLOOKUP(C5,'BD - Valor Lavanderia Por Item'!A:R,7,FALSE))),"Cidade não encontrada")</f>
        <v>0</v>
      </c>
      <c r="AW5" s="42">
        <f>IFERROR(IF(AND('TaxaLimpeza (Proposta)'!$A5&lt;&gt;"", COUNTIF('Configuração-Imóvel'!$A:$A, $A5)&gt;0), AV5*AU5*AT5,"ID não encontrado"),Tabela1[[#This Row],[Valor por lavanderia '[R$/Kg']40]])</f>
        <v>0</v>
      </c>
      <c r="AX5" s="44">
        <f>IFERROR(IF(A5="",0,VLOOKUP(A5,'Estoque-Imóvel'!A:AC,17,FALSE)),"Code não encontrado")</f>
        <v>4</v>
      </c>
      <c r="AY5" s="40">
        <f>IF(AX5=0,0,IF(AX5="ID não encontrado",0,IFERROR(VLOOKUP($AX$2,'BD - Itens x Peso'!$A:$B,2,FALSE),"Nome ou Peso não encontrado")))</f>
        <v>0.19</v>
      </c>
      <c r="AZ5" s="42">
        <f>IFERROR(IF(C5="","Cidade não foi inserida",IF(AX5=0,0,VLOOKUP(C5,'BD - Valor Lavanderia Por Item'!A:R,5,FALSE))),"Cidade não encontrada")</f>
        <v>3.0649999999999999</v>
      </c>
      <c r="BA5" s="42">
        <f>IFERROR(IF(AND('TaxaLimpeza (Proposta)'!$A5&lt;&gt;"", COUNTIF('Configuração-Imóvel'!$A:$A, $A5)&gt;0), AZ5*AY5*AX5,"ID não encontrado"),Tabela1[[#This Row],[Valor por lavanderia '[R$/Kg']44]])</f>
        <v>2.3294000000000001</v>
      </c>
      <c r="BB5" s="44">
        <f>IFERROR(IF(A5="",0,VLOOKUP(A5,'Estoque-Imóvel'!A:AC,18,FALSE)),"ID não encontrado")</f>
        <v>0</v>
      </c>
      <c r="BC5" s="40">
        <f>IF(BB5=0,0,IF(BB5="ID não encontrado",0,IFERROR(VLOOKUP($BB$2,'BD - Itens x Peso'!$A:$B,2,FALSE),"Nome ou Peso não encontrado")))</f>
        <v>0</v>
      </c>
      <c r="BD5" s="42">
        <f>IFERROR(IF(C5="","Cidade não foi inserida",IF(BB5=0,0,VLOOKUP(C5,'BD - Valor Lavanderia Por Item'!A:R,11,FALSE))),"Cidade não encontrada")</f>
        <v>0</v>
      </c>
      <c r="BE5" s="42">
        <f>IFERROR(IF(AND('TaxaLimpeza (Proposta)'!$A5&lt;&gt;"", COUNTIF('Configuração-Imóvel'!$A:$A, $A5)&gt;0), BD5*BC5*BB5,"ID não encontrado"),Tabela1[[#This Row],[Valor por lavanderia '[R$/Kg']48]])</f>
        <v>0</v>
      </c>
      <c r="BF5" s="44">
        <f>IFERROR(IF(A5="",0,VLOOKUP(A5,'Estoque-Imóvel'!A:AC,19,FALSE)),"ID não encontrado")</f>
        <v>2</v>
      </c>
      <c r="BG5" s="40">
        <f>IF(BF5=0,0,IF(BF5="ID não encontrado",0,IFERROR(VLOOKUP($BF$2,'BD - Itens x Peso'!$A:$B,2,FALSE),"Nome ou Peso não encontrado")))</f>
        <v>2.62</v>
      </c>
      <c r="BH5" s="42">
        <f>IFERROR(IF(C5="","Cidade não foi inserida",IF(BF5=0,0,VLOOKUP(C5,'BD - Valor Lavanderia Por Item'!A:R,13,FALSE))),"Cidade não encontrada")</f>
        <v>41.7575</v>
      </c>
      <c r="BI5" s="42">
        <f>IFERROR(IF(AND('TaxaLimpeza (Proposta)'!$A5&lt;&gt;"", COUNTIF('Configuração-Imóvel'!$A:$A, $A5)&gt;0), BH5*BG5*BF5,"ID não encontrado"),Tabela1[[#This Row],[Valor por lavanderia '[R$/Kg']52]])</f>
        <v>218.80930000000001</v>
      </c>
      <c r="BJ5" s="44">
        <f>IFERROR(IF(A5="",0,VLOOKUP(A5,'Estoque-Imóvel'!A:AC,20,FALSE)),"ID não encontrado")</f>
        <v>0</v>
      </c>
      <c r="BK5" s="40">
        <f>IF(BJ5=0,0,IF(BJ5="ID não encontrado",0,IFERROR(VLOOKUP($BJ$2,'BD - Itens x Peso'!$A:$B,2,FALSE),"Nome ou Peso não encontrado")))</f>
        <v>0</v>
      </c>
      <c r="BL5" s="42">
        <f>IFERROR(IF(C5="","Cidade não foi inserida",IF(BJ5=0,0,VLOOKUP(C5,'BD - Valor Lavanderia Por Item'!A:R,13,FALSE))),"Cidade não encontrada")</f>
        <v>0</v>
      </c>
      <c r="BM5" s="42">
        <f>IFERROR(IF(AND('TaxaLimpeza (Proposta)'!$A5&lt;&gt;"", COUNTIF('Configuração-Imóvel'!$A:$A, $A5)&gt;0), BL5*BK5*BJ5,"ID não encontrado"),Tabela1[[#This Row],[Valor por lavanderia '[R$/Kg']56]])</f>
        <v>0</v>
      </c>
      <c r="BN5" s="44">
        <f>IFERROR(IF(A5="",0,VLOOKUP(A5,'Estoque-Imóvel'!A:AC,21,FALSE)),"ID não encontrado")</f>
        <v>0</v>
      </c>
      <c r="BO5" s="40">
        <f>IF(BN5=0,0,IF(BN5="ID não encontrado",0,IFERROR(VLOOKUP($BN$2,'BD - Itens x Peso'!$A:$B,2,FALSE),"Nome ou Peso não encontrado")))</f>
        <v>0</v>
      </c>
      <c r="BP5" s="42">
        <f>IFERROR(IF(C5="","Cidade não foi inserida",IF(BN5=0,0,VLOOKUP(C5,'BD - Valor Lavanderia Por Item'!A:R,13,FALSE))),"Cidade não encontrada")</f>
        <v>0</v>
      </c>
      <c r="BQ5" s="42">
        <f>IFERROR(IF(AND('TaxaLimpeza (Proposta)'!$A5&lt;&gt;"", COUNTIF('Configuração-Imóvel'!$A:$A, $A5)&gt;0), BP5*BO5*BN5,"ID não encontrado"),Tabela1[[#This Row],[Valor por lavanderia '[R$/Kg']60]])</f>
        <v>0</v>
      </c>
      <c r="BR5" s="44">
        <f>IFERROR(IF(A5="",0,VLOOKUP(A5,'Estoque-Imóvel'!A:AC,22,FALSE)),"ID não encontrado")</f>
        <v>0</v>
      </c>
      <c r="BS5" s="40">
        <f>IF(BR5=0,0,IF(BR5="ID não encontrado",0,IFERROR(VLOOKUP($BR$2,'BD - Itens x Peso'!$A:$B,2,FALSE),"Nome ou Peso não encontrado. Utilizado o Edredom Solteiro como referência")))</f>
        <v>0</v>
      </c>
      <c r="BT5" s="42">
        <f>IFERROR(IF(C5="","Cidade não foi inserida",IF(BR5=0,0,VLOOKUP(C5,'BD - Valor Lavanderia Por Item'!A:R,11,FALSE))),"Cidade não encontrada")</f>
        <v>0</v>
      </c>
      <c r="BU5" s="42">
        <f>IFERROR(IF(AND('TaxaLimpeza (Proposta)'!$A5&lt;&gt;"", COUNTIF('Configuração-Imóvel'!$A:$A, $A5)&gt;0), BT5*BS5*BR5,"ID não encontrado"),BT5*VLOOKUP($BB$2,'BD - Itens x Peso'!$A:$B,2,FALSE)*BR5)</f>
        <v>0</v>
      </c>
      <c r="BV5" s="44">
        <f>IFERROR(IF(A5="",0,VLOOKUP(A5,'Estoque-Imóvel'!A:AC,23,FALSE)),"ID não encontrado")</f>
        <v>0</v>
      </c>
      <c r="BW5" s="40">
        <f>IF(BV5=0,0,IF(BV5="ID não encontrado",0,IFERROR(VLOOKUP($BV$2,'BD - Itens x Peso'!$A:$B,2,FALSE),"Nome ou Peso não encontrado. Utilizado o Edredom Queen Size como referência")))</f>
        <v>0</v>
      </c>
      <c r="BX5" s="42">
        <f>IFERROR(IF(C5="","Cidade não foi inserida",IF(BV5=0,0,VLOOKUP(C5,'BD - Valor Lavanderia Por Item'!A:R,13,FALSE))),"Cidade não encontrada")</f>
        <v>0</v>
      </c>
      <c r="BY5" s="42">
        <f>IFERROR(IF(AND('TaxaLimpeza (Proposta)'!$A5&lt;&gt;"",COUNTIF('Configuração-Imóvel'!$A:$A,$A5)&gt;0),BX5*BW5*BV5,"ID não encontrado"),BX5*(VLOOKUP($BF$2,'BD - Itens x Peso'!$A:$B,2,FALSE)*BV5))</f>
        <v>0</v>
      </c>
      <c r="BZ5" s="44">
        <f>IFERROR(IF(A5="",0,VLOOKUP(A5,'Estoque-Imóvel'!A:AC,24,FALSE)),"ID não encontrado")</f>
        <v>0</v>
      </c>
      <c r="CA5" s="40">
        <f>IF(BZ5=0,0,IF(BZ5="ID não encontrado",0,IFERROR(VLOOKUP($BZ$2,'BD - Itens x Peso'!$A:$B,2,FALSE),"Nome ou Peso não encontrado. Utilizado o peso do Edredom Casal como referência")))</f>
        <v>0</v>
      </c>
      <c r="CB5" s="42">
        <f>IFERROR(IF(C5="","Cidade não foi inserida",IF(BZ5=0,0,VLOOKUP(C5,'BD - Valor Lavanderia Por Item'!A:R,12,FALSE))),"Cidade não encontrada")</f>
        <v>0</v>
      </c>
      <c r="CC5" s="42">
        <f>IFERROR(IF(AND('TaxaLimpeza (Proposta)'!$A5&lt;&gt;"", COUNTIF('Configuração-Imóvel'!$A:$A, $A5)&gt;0), CB5*CA5*BZ5,"ID não encontrado"),VLOOKUP($BN$2,'BD - Itens x Peso'!$A:$B,2,FALSE)*CB5*BZ5)</f>
        <v>0</v>
      </c>
      <c r="CD5" s="44">
        <f>IFERROR(IF(A5="",0,VLOOKUP(A5,'Estoque-Imóvel'!A:AC,25,FALSE)),"ID não encontrado")</f>
        <v>0</v>
      </c>
      <c r="CE5" s="40">
        <f>IF(CD5=0,0,IF(CD5="ID não encontrado",0,IFERROR(VLOOKUP($CD$2,'BD - Itens x Peso'!$A:$B,2,FALSE),"Nome ou Peso não encontrado. Utilizado o Edredom Queen Size como referência")))</f>
        <v>0</v>
      </c>
      <c r="CF5" s="42">
        <f>IFERROR(IF(C5="","Cidade não foi inserida",IF(CD5=0,0,VLOOKUP(C5,'BD - Valor Lavanderia Por Item'!A:R,13,FALSE))),"Cidade não encontrada")</f>
        <v>0</v>
      </c>
      <c r="CG5" s="42">
        <f>IFERROR(IF(AND('TaxaLimpeza (Proposta)'!$A5&lt;&gt;"", COUNTIF('Configuração-Imóvel'!$A:$A, $A5)&gt;0), CF5*CE5*CD5,"ID não encontrado"),VLOOKUP($BF$2,'BD - Itens x Peso'!$A:$B,2,FALSE)*CF5*CD5)</f>
        <v>0</v>
      </c>
      <c r="CH5" s="44">
        <f>IFERROR(IF(A5="",0,VLOOKUP(A5,'Estoque-Imóvel'!A:AC,26,FALSE)),"ID não encontrado")</f>
        <v>0</v>
      </c>
      <c r="CI5" s="40">
        <f>IF(CH5=0,0,IF(CH5="ID não encontrado",0,IFERROR(VLOOKUP($CH$2,'BD - Itens x Peso'!$A:$B,2,FALSE),"Nome ou Peso não encontrado")))</f>
        <v>0</v>
      </c>
      <c r="CJ5" s="42">
        <f>IFERROR(IF(C5="","Cidade não foi inserida",IF(CH5=0,0,VLOOKUP(C5,'BD - Valor Lavanderia Por Item'!A:R,15,FALSE))),"Cidade não encontrada")</f>
        <v>0</v>
      </c>
      <c r="CK5" s="42">
        <f>IFERROR(IF(AND('TaxaLimpeza (Proposta)'!$A5&lt;&gt;"", COUNTIF('Configuração-Imóvel'!$A:$A, $A5)&gt;0), CJ5*CI5*CH5,"ID não encontrado"),Tabela1[[#This Row],[Valor por lavanderia '[R$/Kg']80]])</f>
        <v>0</v>
      </c>
      <c r="CL5" s="44">
        <f>IFERROR(IF(A5="",0,VLOOKUP(A5,'Estoque-Imóvel'!A:AC,27,FALSE)),"ID não encontrado")</f>
        <v>2</v>
      </c>
      <c r="CM5" s="40">
        <f>IF(CL5=0,0,IF(CL5="ID não encontrado",0,IFERROR(VLOOKUP($CL$2,'BD - Itens x Peso'!$A:$B,2,FALSE),"Nome ou Peso não encontrado")))</f>
        <v>1.56</v>
      </c>
      <c r="CN5" s="42">
        <f>IFERROR(IF(C5="","Cidade não foi inserida",IF(CL5=0,0,VLOOKUP(C5,'BD - Valor Lavanderia Por Item'!A:R,17,FALSE))),"Cidade não encontrada")</f>
        <v>16.457000000000001</v>
      </c>
      <c r="CO5" s="42">
        <f>IFERROR(IF(AND('TaxaLimpeza (Proposta)'!$A5&lt;&gt;"", COUNTIF('Configuração-Imóvel'!$A:$A, $A5)&gt;0), CN5*CM5*CL5,"ID não encontrado"),Tabela1[[#This Row],[Valor por lavanderia '[R$/Kg']84]])</f>
        <v>51.345840000000003</v>
      </c>
      <c r="CP5" s="44">
        <f>IFERROR(IF(A5="",0,VLOOKUP(A5,'Estoque-Imóvel'!A:AC,28,FALSE)),"ID não encontrado")</f>
        <v>0</v>
      </c>
      <c r="CQ5" s="40">
        <f>IF(CP5=0,0,IF(CP5="ID não encontrado",0,IFERROR(VLOOKUP($CP$2,'BD - Itens x Peso'!$A:$B,2,FALSE),"Nome ou Peso não encontrado")))</f>
        <v>0</v>
      </c>
      <c r="CR5" s="42">
        <f>IFERROR(IF(C5="","Cidade não foi inserida",IF(CP5=0,0,VLOOKUP(C5,'BD - Valor Lavanderia Por Item'!A:R,18,FALSE))),"Cidade não encontrada")</f>
        <v>0</v>
      </c>
      <c r="CS5" s="42">
        <f>IFERROR(IF(AND('TaxaLimpeza (Proposta)'!$A5&lt;&gt;"", COUNTIF('Configuração-Imóvel'!$A:$A, $A5)&gt;0), CR5*CQ5*CP5,"ID não encontrado"),Tabela1[[#This Row],[Valor por lavanderia '[R$/Kg']3]])</f>
        <v>0</v>
      </c>
      <c r="CT5" s="44">
        <f>IFERROR(IF(A5="",0,VLOOKUP(A5,'Estoque-Imóvel'!A:AC,29,FALSE)),"ID não encontrado")</f>
        <v>0</v>
      </c>
      <c r="CU5" s="40">
        <f>IF(CT5=0,0,IF(CT5="ID não encontrado",0,IFERROR(VLOOKUP($CT$2,'BD - Itens x Peso'!$A:$B,2,FALSE),"Nome ou Peso não encontrado")))</f>
        <v>0</v>
      </c>
      <c r="CV5" s="42">
        <f>IFERROR(IF(C5="","Cidade não foi inserida",IF(CT5=0,0,VLOOKUP(C5,'BD - Valor Lavanderia Por Item'!A:R,16,FALSE))),"Cidade não encontrada")</f>
        <v>0</v>
      </c>
      <c r="CW5" s="45">
        <f>IFERROR(IF(AND('TaxaLimpeza (Proposta)'!$A5&lt;&gt;"", COUNTIF('Configuração-Imóvel'!$A:$A, $A5)&gt;0), CV5*CU5*CT5,"ID não encontrado"),Tabela1[[#This Row],[Valor por lavanderia '[R$/Kg']2]])</f>
        <v>0</v>
      </c>
      <c r="CX5" s="34">
        <f t="shared" ref="CX5:CX23" si="1">IFERROR(IF(A5="","",I5+M5+Q5+U5+Y5+AC5+AG5+AK5+AO5+AS5+AW5+BA5+BE5+BI5+BM5+BQ5+BU5+BY5+CC5+CG5+CK5+CO5+CS5+CW5),"Dados com erro")</f>
        <v>291.42847999999998</v>
      </c>
      <c r="CY5" s="68">
        <f>IFERROR(IF(A5="","",(VLOOKUP(A5,'Configuração-Imóvel'!$A$2:$R$21,16,FALSE)+VLOOKUP(A5,'Configuração-Imóvel'!$A$2:$R$21,17,FALSE))*VLOOKUP($CY$3,'BD - Amenities'!$B$2:$E$7,4,FALSE)),"ID não encontrado")</f>
        <v>0.5</v>
      </c>
      <c r="CZ5" s="69">
        <f>IFERROR(IF(A5="","",(VLOOKUP(A5,'Configuração-Imóvel'!$A$2:$R$21,16,FALSE)+VLOOKUP(A5,'Configuração-Imóvel'!$A$2:$R$21,17,FALSE))*VLOOKUP($CZ$3,'BD - Amenities'!$B$2:$E$7,4,FALSE)),"ID não encontrado")</f>
        <v>4</v>
      </c>
      <c r="DA5" s="69">
        <f>IFERROR(IF(A5="","",VLOOKUP(A5,'Configuração-Imóvel'!$A$2:$R$21,16,FALSE)*VLOOKUP($DA$3,'BD - Amenities'!$B$2:$E$7,4,FALSE)),"ID não encontrado")</f>
        <v>1.5</v>
      </c>
      <c r="DB5" s="69">
        <f>IFERROR(IF(A5="","",VLOOKUP(A5,'Configuração-Imóvel'!$A$2:$R$21,16,FALSE)*VLOOKUP($DB$3,'BD - Amenities'!$B$2:$E$7,4,FALSE)),"ID não encontrado")</f>
        <v>1.5</v>
      </c>
      <c r="DC5" s="35">
        <f t="shared" ref="DC5:DC23" si="2">IFERROR(CY5+CZ5+DA5+DB5,"Erro no cálculo de Amenities")</f>
        <v>7.5</v>
      </c>
      <c r="DD5" s="37">
        <f>IFERROR(IF(A5="","",VLOOKUP($DD$3,'BD - Material de Limpeza'!$A:$D,4,FALSE)),"ID não encontrado")</f>
        <v>2</v>
      </c>
      <c r="DE5" s="38">
        <f>IFERROR(IF(A5="","",VLOOKUP($DE$3,'BD - Material de Limpeza'!$A:$D,4,FALSE)),"ID não encontrado")</f>
        <v>2</v>
      </c>
      <c r="DF5" s="38">
        <f>IFERROR(IF(A5="","",VLOOKUP($DF$3,'BD - Material de Limpeza'!$A:$D,4,FALSE)),"ID não encontrado")</f>
        <v>1</v>
      </c>
      <c r="DG5" s="38">
        <f>IFERROR(IF(A5="","",VLOOKUP($DG$3,'BD - Material de Limpeza'!$A:$D,4,FALSE)),"ID não encontrado")</f>
        <v>1</v>
      </c>
      <c r="DH5" s="38">
        <f>IFERROR(IF(A5="","",VLOOKUP($DH$3,'BD - Material de Limpeza'!$A:$D,4,FALSE)),"ID não encontrado")</f>
        <v>1</v>
      </c>
      <c r="DI5" s="38">
        <f>IFERROR(IF(A5="","",VLOOKUP($DI$3,'BD - Material de Limpeza'!$A:$D,4,FALSE)),"ID não encontrado")</f>
        <v>1</v>
      </c>
      <c r="DJ5" s="38">
        <f>IFERROR(IF(A5="","",VLOOKUP($DJ$3,'BD - Material de Limpeza'!$A:$D,4,FALSE)),"ID não encontrado")</f>
        <v>1</v>
      </c>
      <c r="DK5" s="36">
        <f t="shared" si="0"/>
        <v>9</v>
      </c>
      <c r="DL5" s="72" cm="1">
        <f t="array" ref="DL5">IFERROR(IF('TaxaLimpeza (Proposta)'!$A5="","",INDEX('BD - Valor Limpeza Diarista'!B:B,INDEX('Configuração-Imóvel'!O:O,MATCH(A5,'Configuração-Imóvel'!A:A,0))+1,0)),"ID não encontrado")</f>
        <v>220</v>
      </c>
      <c r="DM5" s="67">
        <f t="shared" ref="DM5:DM23" si="3">SUM(CX5,DC5,DK5,DL5)*1.1</f>
        <v>580.72132800000009</v>
      </c>
      <c r="DN5" s="23" t="s">
        <v>176</v>
      </c>
      <c r="DP5" s="74"/>
    </row>
    <row r="6" spans="1:120" ht="15.75" customHeight="1">
      <c r="A6" s="65" t="s">
        <v>4</v>
      </c>
      <c r="B6" s="32" t="s">
        <v>154</v>
      </c>
      <c r="C6" s="32" t="s">
        <v>95</v>
      </c>
      <c r="D6" s="32" t="s">
        <v>155</v>
      </c>
      <c r="E6" s="33" t="s">
        <v>201</v>
      </c>
      <c r="F6" s="39">
        <f>IFERROR(IF(A6="",0,VLOOKUP(A6,'Estoque-Imóvel'!A:AC,6,FALSE)),"ID não encontrado")</f>
        <v>3</v>
      </c>
      <c r="G6" s="40">
        <f>IF(F6=0,0,IF(F6="ID não encontrado",0,IFERROR(VLOOKUP($F$2,'BD - Itens x Peso'!$A:$B,2,FALSE),"Nome ou Peso não encontrado")))</f>
        <v>0.24</v>
      </c>
      <c r="H6" s="41">
        <f>IFERROR(IF(C6="","Cidade não foi inserida",IF(F6=0,0,VLOOKUP(C6,'BD - Valor Lavanderia Por Item'!A:R,2,FALSE))),"Cidade não encontrada")</f>
        <v>2.7519999999999998</v>
      </c>
      <c r="I6" s="42">
        <f>IFERROR(IF(AND('TaxaLimpeza (Proposta)'!$A6&lt;&gt;"", COUNTIF('Configuração-Imóvel'!$A:$A, $A6)&gt;0), H6*G6*F6,"ID não encontrado"),H6)</f>
        <v>1.9814399999999999</v>
      </c>
      <c r="J6" s="43">
        <f>IFERROR(IF(A6="",0,VLOOKUP(A6,'Estoque-Imóvel'!A:AC,7,FALSE)),"ID não encontrado")</f>
        <v>3</v>
      </c>
      <c r="K6" s="40">
        <f>IF(J6=0,0,IF(J6="ID não encontrado",0,IFERROR(VLOOKUP($J$2,'BD - Itens x Peso'!$A:$B,2,FALSE),"Nome ou Peso não encontrado")))</f>
        <v>0.16</v>
      </c>
      <c r="L6" s="41">
        <f>IFERROR(IF(C6="","Cidade não foi inserida",IF(J6=0,0,VLOOKUP(C6,'BD - Valor Lavanderia Por Item'!A:R,3,FALSE))),"Cidade não encontrada")</f>
        <v>3.5345</v>
      </c>
      <c r="M6" s="41">
        <f>IFERROR(IF(AND('TaxaLimpeza (Proposta)'!$A6&lt;&gt;"", COUNTIF('Configuração-Imóvel'!$A:$A, $A6)&gt;0), L6*K6*J6,"ID não encontrado"),Tabela1[[#This Row],[Valor por lavanderia '[R$/Kg']4]])</f>
        <v>1.6965600000000001</v>
      </c>
      <c r="N6" s="44">
        <f>IFERROR(IF(A6="",0,VLOOKUP(A6,'Estoque-Imóvel'!A:AC,8,FALSE)),"ID não encontrado")</f>
        <v>0</v>
      </c>
      <c r="O6" s="40">
        <f>IF(N6=0,0,IF(N6="ID não encontrado",0,IFERROR(VLOOKUP($N$2,'BD - Itens x Peso'!$A:$B,2,FALSE),"Nome ou Peso não encontrado")))</f>
        <v>0</v>
      </c>
      <c r="P6" s="42">
        <f>IFERROR(IF(C6="","Cidade não foi inserida",IF(N6=0,0,VLOOKUP(C6,'BD - Valor Lavanderia Por Item'!A:R,2,FALSE))),"Cidade não encontrada")</f>
        <v>0</v>
      </c>
      <c r="Q6" s="42">
        <f>IFERROR(IF(AND('TaxaLimpeza (Proposta)'!$A6&lt;&gt;"", COUNTIF('Configuração-Imóvel'!$A:$A, $A6)&gt;0), P6*O6*N6,"ID não encontrado"),Tabela1[[#This Row],[Valor por lavanderia '[R$/Kg']8]])</f>
        <v>0</v>
      </c>
      <c r="R6" s="44">
        <f>IFERROR(IF(A6="",0,VLOOKUP(A6,'Estoque-Imóvel'!A:AC,9,FALSE)),"ID não encontrado")</f>
        <v>5</v>
      </c>
      <c r="S6" s="40">
        <f>IF(R6=0,0,IF(R6="ID não encontrado",0,IFERROR(VLOOKUP($R$2,'BD - Itens x Peso'!$A:$B,2,FALSE),"Nome ou Peso não encontrado")))</f>
        <v>0.39</v>
      </c>
      <c r="T6" s="42">
        <f>IFERROR(IF(C6="","Cidade não foi inserida",IF(R6=0,0,VLOOKUP(C6,'BD - Valor Lavanderia Por Item'!A:R,4,FALSE))),"Cidade não encontrada")</f>
        <v>4.7865000000000002</v>
      </c>
      <c r="U6" s="42">
        <f>IFERROR(IF(AND('TaxaLimpeza (Proposta)'!$A6&lt;&gt;"", COUNTIF('Configuração-Imóvel'!$A:$A, $A6)&gt;0), T6*S6*R6,"ID não encontrado"),Tabela1[[#This Row],[Valor por lavanderia '[R$/Kg']12]])</f>
        <v>9.3336749999999995</v>
      </c>
      <c r="V6" s="44">
        <f>IFERROR(IF(A6="",0,VLOOKUP(A6,'Estoque-Imóvel'!A:AC,10,FALSE)),"ID não encontrado")</f>
        <v>0</v>
      </c>
      <c r="W6" s="40">
        <f>IF(V6=0,0,IF(V6="ID não encontrado",0,IFERROR(VLOOKUP($V$2,'BD - Itens x Peso'!$A:$B,2,FALSE),"Nome ou Peso não encontrado")))</f>
        <v>0</v>
      </c>
      <c r="X6" s="42">
        <f>IFERROR(IF(C6="","Cidade não foi inserida",IF(V6=0,0,VLOOKUP(C6,'BD - Valor Lavanderia Por Item'!A:R,3,FALSE))),"Cidade não encontrada")</f>
        <v>0</v>
      </c>
      <c r="Y6" s="42">
        <f>IFERROR(IF(AND('TaxaLimpeza (Proposta)'!$A6&lt;&gt;"", COUNTIF('Configuração-Imóvel'!$A:$A, $A6)&gt;0), X6*W6*V6,"ID não encontrado"),Tabela1[[#This Row],[Valor por lavanderia '[R$/Kg']16]])</f>
        <v>0</v>
      </c>
      <c r="Z6" s="44">
        <f>IFERROR(IF(A6="",0,VLOOKUP(A6,'Estoque-Imóvel'!A:AC,11,FALSE)),"ID não encontrado")</f>
        <v>0</v>
      </c>
      <c r="AA6" s="40">
        <f>IF(Z6=0,0,IF(Z6="ID não encontrado",0,IFERROR(VLOOKUP($Z$2,'BD - Itens x Peso'!$A:$B,2,FALSE),"Nome ou Peso não encontrado")))</f>
        <v>0</v>
      </c>
      <c r="AB6" s="42">
        <f>IFERROR(IF(C6="","Cidade não foi inserida",IF(Z6=0,0,VLOOKUP(C6,'BD - Valor Lavanderia Por Item'!A:R,3,FALSE))),"Cidade não encontrada")</f>
        <v>0</v>
      </c>
      <c r="AC6" s="42">
        <f>IFERROR(IF(AND('TaxaLimpeza (Proposta)'!$A6&lt;&gt;"", COUNTIF('Configuração-Imóvel'!$A:$A, $A6)&gt;0), AB6*AA6*Z6,"ID não encontrado"),Tabela1[[#This Row],[Valor por lavanderia '[R$/Kg']20]])</f>
        <v>0</v>
      </c>
      <c r="AD6" s="44">
        <f>IFERROR(IF(A6="",0,VLOOKUP(A6,'Estoque-Imóvel'!A:AC,12,FALSE)),"ID não encontrado")</f>
        <v>1</v>
      </c>
      <c r="AE6" s="40">
        <f>IF(AD6=0,0,IF(AD6="ID não encontrado",0,IFERROR(VLOOKUP($AD$2,'BD - Itens x Peso'!$A:$B,2,FALSE),"Nome ou Peso não encontrado")))</f>
        <v>1.01</v>
      </c>
      <c r="AF6" s="42">
        <f>IFERROR(IF(C6="","Cidade não foi inserida",IF(AD6=0,0,VLOOKUP(C6,'BD - Valor Lavanderia Por Item'!A:R,9,FALSE))),"Cidade não encontrada")</f>
        <v>9.3249999999999993</v>
      </c>
      <c r="AG6" s="42">
        <f>IFERROR(IF(AND('TaxaLimpeza (Proposta)'!$A6&lt;&gt;"", COUNTIF('Configuração-Imóvel'!$A:$A, $A6)&gt;0), AF6*AE6*AD6,"ID não encontrado"),Tabela1[[#This Row],[Valor por lavanderia '[R$/Kg']24]])</f>
        <v>9.4182499999999987</v>
      </c>
      <c r="AH6" s="44">
        <f>IFERROR(IF(A6="",0,VLOOKUP(A6,'Estoque-Imóvel'!A:AC,13,FALSE)),"ID não encontrado")</f>
        <v>2</v>
      </c>
      <c r="AI6" s="40">
        <f>IF(AH6=0,0,IF(AH6="ID não encontrado",0,IFERROR(VLOOKUP($AH$2,'BD - Itens x Peso'!$A:$B,2,FALSE),"Nome ou Peso não encontrado")))</f>
        <v>0.3</v>
      </c>
      <c r="AJ6" s="42">
        <f>IFERROR(IF(C6="","Cidade não foi inserida",IF(AH6=0,0,VLOOKUP(C6,'BD - Valor Lavanderia Por Item'!A:R,6,FALSE))),"Cidade não encontrada")</f>
        <v>6.1950000000000003</v>
      </c>
      <c r="AK6" s="42">
        <f>IFERROR(IF(AND('TaxaLimpeza (Proposta)'!$A6&lt;&gt;"", COUNTIF('Configuração-Imóvel'!$A:$A, $A6)&gt;0), AJ6*AI6*AH6,"ID não encontrado"),Tabela1[[#This Row],[Valor por lavanderia '[R$/Kg']28]])</f>
        <v>3.7170000000000001</v>
      </c>
      <c r="AL6" s="44">
        <f>IFERROR(IF(A6="",0,VLOOKUP(A6,'Estoque-Imóvel'!A:AC,14,FALSE)),"ID não encontrado")</f>
        <v>0</v>
      </c>
      <c r="AM6" s="40">
        <f>IF(AL6=0,0,IF(AL6="ID não encontrado",0,IFERROR(VLOOKUP($AL$2,'BD - Itens x Peso'!$A:$B,2,FALSE),"Nome ou Peso não encontrado")))</f>
        <v>0</v>
      </c>
      <c r="AN6" s="42">
        <f>IFERROR(IF(C6="","Cidade não foi inserida",IF(AL6=0,0,VLOOKUP(C6,'BD - Valor Lavanderia Por Item'!A:R,8,FALSE))),"Cidade não encontrada")</f>
        <v>0</v>
      </c>
      <c r="AO6" s="42">
        <f>IFERROR(IF(AND('TaxaLimpeza (Proposta)'!$A6&lt;&gt;"", COUNTIF('Configuração-Imóvel'!$A:$A, $A6)&gt;0), AN6*AM6*AL6,"ID não encontrado"),Tabela1[[#This Row],[Valor por lavanderia '[R$/Kg']32]])</f>
        <v>0</v>
      </c>
      <c r="AP6" s="44">
        <f>IFERROR(IF(A6="",0,VLOOKUP(A6,'Estoque-Imóvel'!A:AC,15,FALSE)),"ID não encontrado")</f>
        <v>0</v>
      </c>
      <c r="AQ6" s="40">
        <f>IF(AP6=0,0,IF(AP6="ID não encontrado",0,IFERROR(VLOOKUP($AP$2,'BD - Itens x Peso'!$A:$B,2,FALSE),"Nome ou Peso não encontrado")))</f>
        <v>0</v>
      </c>
      <c r="AR6" s="42">
        <f>IFERROR(IF(C6="","Cidade não foi inserida",IF(AP6=0,0,VLOOKUP(C6,'BD - Valor Lavanderia Por Item'!A:R,8,FALSE))),"Cidade não encontrada")</f>
        <v>0</v>
      </c>
      <c r="AS6" s="42">
        <f>IFERROR(IF(AND('TaxaLimpeza (Proposta)'!$A6&lt;&gt;"", COUNTIF('Configuração-Imóvel'!$A:$A, $A6)&gt;0), AR6*AQ6*AP6,"ID não encontrado"),Tabela1[[#This Row],[Valor por lavanderia '[R$/Kg']36]])</f>
        <v>0</v>
      </c>
      <c r="AT6" s="44">
        <f>IFERROR(IF(A6="",0,VLOOKUP(A6,'Estoque-Imóvel'!A:AC,16,FALSE)),"ID não encontrado")</f>
        <v>4</v>
      </c>
      <c r="AU6" s="40">
        <f>IF(AT6=0,0,IF(AT6="ID não encontrado",0,IFERROR(VLOOKUP($AT$2,'BD - Itens x Peso'!$A:$B,2,FALSE),"Nome ou Peso não encontrado")))</f>
        <v>0.3</v>
      </c>
      <c r="AV6" s="42">
        <f>IFERROR(IF(C6="","Cidade não foi inserida",IF(AT6=0,0,VLOOKUP(C6,'BD - Valor Lavanderia Por Item'!A:R,7,FALSE))),"Cidade não encontrada")</f>
        <v>6.9774999999999991</v>
      </c>
      <c r="AW6" s="42">
        <f>IFERROR(IF(AND('TaxaLimpeza (Proposta)'!$A6&lt;&gt;"", COUNTIF('Configuração-Imóvel'!$A:$A, $A6)&gt;0), AV6*AU6*AT6,"ID não encontrado"),Tabela1[[#This Row],[Valor por lavanderia '[R$/Kg']40]])</f>
        <v>8.3729999999999993</v>
      </c>
      <c r="AX6" s="44">
        <f>IFERROR(IF(A6="",0,VLOOKUP(A6,'Estoque-Imóvel'!A:AC,17,FALSE)),"Code não encontrado")</f>
        <v>5</v>
      </c>
      <c r="AY6" s="40">
        <f>IF(AX6=0,0,IF(AX6="ID não encontrado",0,IFERROR(VLOOKUP($AX$2,'BD - Itens x Peso'!$A:$B,2,FALSE),"Nome ou Peso não encontrado")))</f>
        <v>0.19</v>
      </c>
      <c r="AZ6" s="42">
        <f>IFERROR(IF(C6="","Cidade não foi inserida",IF(AX6=0,0,VLOOKUP(C6,'BD - Valor Lavanderia Por Item'!A:R,5,FALSE))),"Cidade não encontrada")</f>
        <v>3.0649999999999999</v>
      </c>
      <c r="BA6" s="42">
        <f>IFERROR(IF(AND('TaxaLimpeza (Proposta)'!$A6&lt;&gt;"", COUNTIF('Configuração-Imóvel'!$A:$A, $A6)&gt;0), AZ6*AY6*AX6,"ID não encontrado"),Tabela1[[#This Row],[Valor por lavanderia '[R$/Kg']44]])</f>
        <v>2.9117500000000001</v>
      </c>
      <c r="BB6" s="44">
        <f>IFERROR(IF(A6="",0,VLOOKUP(A6,'Estoque-Imóvel'!A:AC,18,FALSE)),"ID não encontrado")</f>
        <v>0</v>
      </c>
      <c r="BC6" s="40">
        <f>IF(BB6=0,0,IF(BB6="ID não encontrado",0,IFERROR(VLOOKUP($BB$2,'BD - Itens x Peso'!$A:$B,2,FALSE),"Nome ou Peso não encontrado")))</f>
        <v>0</v>
      </c>
      <c r="BD6" s="42">
        <f>IFERROR(IF(C6="","Cidade não foi inserida",IF(BB6=0,0,VLOOKUP(C6,'BD - Valor Lavanderia Por Item'!A:R,11,FALSE))),"Cidade não encontrada")</f>
        <v>0</v>
      </c>
      <c r="BE6" s="42">
        <f>IFERROR(IF(AND('TaxaLimpeza (Proposta)'!$A6&lt;&gt;"", COUNTIF('Configuração-Imóvel'!$A:$A, $A6)&gt;0), BD6*BC6*BB6,"ID não encontrado"),Tabela1[[#This Row],[Valor por lavanderia '[R$/Kg']48]])</f>
        <v>0</v>
      </c>
      <c r="BF6" s="44">
        <f>IFERROR(IF(A6="",0,VLOOKUP(A6,'Estoque-Imóvel'!A:AC,19,FALSE)),"ID não encontrado")</f>
        <v>0</v>
      </c>
      <c r="BG6" s="40">
        <f>IF(BF6=0,0,IF(BF6="ID não encontrado",0,IFERROR(VLOOKUP($BF$2,'BD - Itens x Peso'!$A:$B,2,FALSE),"Nome ou Peso não encontrado")))</f>
        <v>0</v>
      </c>
      <c r="BH6" s="42">
        <f>IFERROR(IF(C6="","Cidade não foi inserida",IF(BF6=0,0,VLOOKUP(C6,'BD - Valor Lavanderia Por Item'!A:R,13,FALSE))),"Cidade não encontrada")</f>
        <v>0</v>
      </c>
      <c r="BI6" s="42">
        <f>IFERROR(IF(AND('TaxaLimpeza (Proposta)'!$A6&lt;&gt;"", COUNTIF('Configuração-Imóvel'!$A:$A, $A6)&gt;0), BH6*BG6*BF6,"ID não encontrado"),Tabela1[[#This Row],[Valor por lavanderia '[R$/Kg']52]])</f>
        <v>0</v>
      </c>
      <c r="BJ6" s="44">
        <f>IFERROR(IF(A6="",0,VLOOKUP(A6,'Estoque-Imóvel'!A:AC,20,FALSE)),"ID não encontrado")</f>
        <v>0</v>
      </c>
      <c r="BK6" s="40">
        <f>IF(BJ6=0,0,IF(BJ6="ID não encontrado",0,IFERROR(VLOOKUP($BJ$2,'BD - Itens x Peso'!$A:$B,2,FALSE),"Nome ou Peso não encontrado")))</f>
        <v>0</v>
      </c>
      <c r="BL6" s="42">
        <f>IFERROR(IF(C6="","Cidade não foi inserida",IF(BJ6=0,0,VLOOKUP(C6,'BD - Valor Lavanderia Por Item'!A:R,13,FALSE))),"Cidade não encontrada")</f>
        <v>0</v>
      </c>
      <c r="BM6" s="42">
        <f>IFERROR(IF(AND('TaxaLimpeza (Proposta)'!$A6&lt;&gt;"", COUNTIF('Configuração-Imóvel'!$A:$A, $A6)&gt;0), BL6*BK6*BJ6,"ID não encontrado"),Tabela1[[#This Row],[Valor por lavanderia '[R$/Kg']56]])</f>
        <v>0</v>
      </c>
      <c r="BN6" s="44">
        <f>IFERROR(IF(A6="",0,VLOOKUP(A6,'Estoque-Imóvel'!A:AC,21,FALSE)),"ID não encontrado")</f>
        <v>2</v>
      </c>
      <c r="BO6" s="40">
        <f>IF(BN6=0,0,IF(BN6="ID não encontrado",0,IFERROR(VLOOKUP($BN$2,'BD - Itens x Peso'!$A:$B,2,FALSE),"Nome ou Peso não encontrado")))</f>
        <v>1.1100000000000001</v>
      </c>
      <c r="BP6" s="42">
        <f>IFERROR(IF(C6="","Cidade não foi inserida",IF(BN6=0,0,VLOOKUP(C6,'BD - Valor Lavanderia Por Item'!A:R,13,FALSE))),"Cidade não encontrada")</f>
        <v>41.7575</v>
      </c>
      <c r="BQ6" s="42">
        <f>IFERROR(IF(AND('TaxaLimpeza (Proposta)'!$A6&lt;&gt;"", COUNTIF('Configuração-Imóvel'!$A:$A, $A6)&gt;0), BP6*BO6*BN6,"ID não encontrado"),Tabela1[[#This Row],[Valor por lavanderia '[R$/Kg']60]])</f>
        <v>92.701650000000015</v>
      </c>
      <c r="BR6" s="44">
        <f>IFERROR(IF(A6="",0,VLOOKUP(A6,'Estoque-Imóvel'!A:AC,22,FALSE)),"ID não encontrado")</f>
        <v>0</v>
      </c>
      <c r="BS6" s="40">
        <f>IF(BR6=0,0,IF(BR6="ID não encontrado",0,IFERROR(VLOOKUP($BR$2,'BD - Itens x Peso'!$A:$B,2,FALSE),"Nome ou Peso não encontrado. Utilizado o Edredom Solteiro como referência")))</f>
        <v>0</v>
      </c>
      <c r="BT6" s="42">
        <f>IFERROR(IF(C6="","Cidade não foi inserida",IF(BR6=0,0,VLOOKUP(C6,'BD - Valor Lavanderia Por Item'!A:R,11,FALSE))),"Cidade não encontrada")</f>
        <v>0</v>
      </c>
      <c r="BU6" s="42">
        <f>IFERROR(IF(AND('TaxaLimpeza (Proposta)'!$A6&lt;&gt;"", COUNTIF('Configuração-Imóvel'!$A:$A, $A6)&gt;0), BT6*BS6*BR6,"ID não encontrado"),BT6*VLOOKUP($BB$2,'BD - Itens x Peso'!$A:$B,2,FALSE)*BR6)</f>
        <v>0</v>
      </c>
      <c r="BV6" s="44">
        <f>IFERROR(IF(A6="",0,VLOOKUP(A6,'Estoque-Imóvel'!A:AC,23,FALSE)),"ID não encontrado")</f>
        <v>0</v>
      </c>
      <c r="BW6" s="40">
        <f>IF(BV6=0,0,IF(BV6="ID não encontrado",0,IFERROR(VLOOKUP($BV$2,'BD - Itens x Peso'!$A:$B,2,FALSE),"Nome ou Peso não encontrado. Utilizado o Edredom Queen Size como referência")))</f>
        <v>0</v>
      </c>
      <c r="BX6" s="42">
        <f>IFERROR(IF(C6="","Cidade não foi inserida",IF(BV6=0,0,VLOOKUP(C6,'BD - Valor Lavanderia Por Item'!A:R,13,FALSE))),"Cidade não encontrada")</f>
        <v>0</v>
      </c>
      <c r="BY6" s="42">
        <f>IFERROR(IF(AND('TaxaLimpeza (Proposta)'!$A6&lt;&gt;"",COUNTIF('Configuração-Imóvel'!$A:$A,$A6)&gt;0),BX6*BW6*BV6,"ID não encontrado"),BX6*(VLOOKUP($BF$2,'BD - Itens x Peso'!$A:$B,2,FALSE)*BV6))</f>
        <v>0</v>
      </c>
      <c r="BZ6" s="44">
        <f>IFERROR(IF(A6="",0,VLOOKUP(A6,'Estoque-Imóvel'!A:AC,24,FALSE)),"ID não encontrado")</f>
        <v>0</v>
      </c>
      <c r="CA6" s="40">
        <f>IF(BZ6=0,0,IF(BZ6="ID não encontrado",0,IFERROR(VLOOKUP($BZ$2,'BD - Itens x Peso'!$A:$B,2,FALSE),"Nome ou Peso não encontrado. Utilizado o peso do Edredom Casal como referência")))</f>
        <v>0</v>
      </c>
      <c r="CB6" s="42">
        <f>IFERROR(IF(C6="","Cidade não foi inserida",IF(BZ6=0,0,VLOOKUP(C6,'BD - Valor Lavanderia Por Item'!A:R,12,FALSE))),"Cidade não encontrada")</f>
        <v>0</v>
      </c>
      <c r="CC6" s="42">
        <f>IFERROR(IF(AND('TaxaLimpeza (Proposta)'!$A6&lt;&gt;"", COUNTIF('Configuração-Imóvel'!$A:$A, $A6)&gt;0), CB6*CA6*BZ6,"ID não encontrado"),VLOOKUP($BN$2,'BD - Itens x Peso'!$A:$B,2,FALSE)*CB6*BZ6)</f>
        <v>0</v>
      </c>
      <c r="CD6" s="44">
        <f>IFERROR(IF(A6="",0,VLOOKUP(A6,'Estoque-Imóvel'!A:AC,25,FALSE)),"ID não encontrado")</f>
        <v>0</v>
      </c>
      <c r="CE6" s="40">
        <f>IF(CD6=0,0,IF(CD6="ID não encontrado",0,IFERROR(VLOOKUP($CD$2,'BD - Itens x Peso'!$A:$B,2,FALSE),"Nome ou Peso não encontrado. Utilizado o Edredom Queen Size como referência")))</f>
        <v>0</v>
      </c>
      <c r="CF6" s="42">
        <f>IFERROR(IF(C6="","Cidade não foi inserida",IF(CD6=0,0,VLOOKUP(C6,'BD - Valor Lavanderia Por Item'!A:R,13,FALSE))),"Cidade não encontrada")</f>
        <v>0</v>
      </c>
      <c r="CG6" s="42">
        <f>IFERROR(IF(AND('TaxaLimpeza (Proposta)'!$A6&lt;&gt;"", COUNTIF('Configuração-Imóvel'!$A:$A, $A6)&gt;0), CF6*CE6*CD6,"ID não encontrado"),VLOOKUP($BF$2,'BD - Itens x Peso'!$A:$B,2,FALSE)*CF6*CD6)</f>
        <v>0</v>
      </c>
      <c r="CH6" s="44">
        <f>IFERROR(IF(A6="",0,VLOOKUP(A6,'Estoque-Imóvel'!A:AC,26,FALSE)),"ID não encontrado")</f>
        <v>0</v>
      </c>
      <c r="CI6" s="40">
        <f>IF(CH6=0,0,IF(CH6="ID não encontrado",0,IFERROR(VLOOKUP($CH$2,'BD - Itens x Peso'!$A:$B,2,FALSE),"Nome ou Peso não encontrado")))</f>
        <v>0</v>
      </c>
      <c r="CJ6" s="42">
        <f>IFERROR(IF(C6="","Cidade não foi inserida",IF(CH6=0,0,VLOOKUP(C6,'BD - Valor Lavanderia Por Item'!A:R,15,FALSE))),"Cidade não encontrada")</f>
        <v>0</v>
      </c>
      <c r="CK6" s="42">
        <f>IFERROR(IF(AND('TaxaLimpeza (Proposta)'!$A6&lt;&gt;"", COUNTIF('Configuração-Imóvel'!$A:$A, $A6)&gt;0), CJ6*CI6*CH6,"ID não encontrado"),Tabela1[[#This Row],[Valor por lavanderia '[R$/Kg']80]])</f>
        <v>0</v>
      </c>
      <c r="CL6" s="44">
        <f>IFERROR(IF(A6="",0,VLOOKUP(A6,'Estoque-Imóvel'!A:AC,27,FALSE)),"ID não encontrado")</f>
        <v>0</v>
      </c>
      <c r="CM6" s="40">
        <f>IF(CL6=0,0,IF(CL6="ID não encontrado",0,IFERROR(VLOOKUP($CL$2,'BD - Itens x Peso'!$A:$B,2,FALSE),"Nome ou Peso não encontrado")))</f>
        <v>0</v>
      </c>
      <c r="CN6" s="42">
        <f>IFERROR(IF(C6="","Cidade não foi inserida",IF(CL6=0,0,VLOOKUP(C6,'BD - Valor Lavanderia Por Item'!A:R,17,FALSE))),"Cidade não encontrada")</f>
        <v>0</v>
      </c>
      <c r="CO6" s="42">
        <f>IFERROR(IF(AND('TaxaLimpeza (Proposta)'!$A6&lt;&gt;"", COUNTIF('Configuração-Imóvel'!$A:$A, $A6)&gt;0), CN6*CM6*CL6,"ID não encontrado"),Tabela1[[#This Row],[Valor por lavanderia '[R$/Kg']84]])</f>
        <v>0</v>
      </c>
      <c r="CP6" s="44">
        <f>IFERROR(IF(A6="",0,VLOOKUP(A6,'Estoque-Imóvel'!A:AC,28,FALSE)),"ID não encontrado")</f>
        <v>0</v>
      </c>
      <c r="CQ6" s="40">
        <f>IF(CP6=0,0,IF(CP6="ID não encontrado",0,IFERROR(VLOOKUP($CP$2,'BD - Itens x Peso'!$A:$B,2,FALSE),"Nome ou Peso não encontrado")))</f>
        <v>0</v>
      </c>
      <c r="CR6" s="42">
        <f>IFERROR(IF(C6="","Cidade não foi inserida",IF(CP6=0,0,VLOOKUP(C6,'BD - Valor Lavanderia Por Item'!A:R,18,FALSE))),"Cidade não encontrada")</f>
        <v>0</v>
      </c>
      <c r="CS6" s="42">
        <f>IFERROR(IF(AND('TaxaLimpeza (Proposta)'!$A6&lt;&gt;"", COUNTIF('Configuração-Imóvel'!$A:$A, $A6)&gt;0), CR6*CQ6*CP6,"ID não encontrado"),Tabela1[[#This Row],[Valor por lavanderia '[R$/Kg']3]])</f>
        <v>0</v>
      </c>
      <c r="CT6" s="44">
        <f>IFERROR(IF(A6="",0,VLOOKUP(A6,'Estoque-Imóvel'!A:AC,29,FALSE)),"ID não encontrado")</f>
        <v>2</v>
      </c>
      <c r="CU6" s="40">
        <f>IF(CT6=0,0,IF(CT6="ID não encontrado",0,IFERROR(VLOOKUP($CT$2,'BD - Itens x Peso'!$A:$B,2,FALSE),"Nome ou Peso não encontrado")))</f>
        <v>1.56</v>
      </c>
      <c r="CV6" s="42">
        <f>IFERROR(IF(C6="","Cidade não foi inserida",IF(CT6=0,0,VLOOKUP(C6,'BD - Valor Lavanderia Por Item'!A:R,16,FALSE))),"Cidade não encontrada")</f>
        <v>16.457000000000001</v>
      </c>
      <c r="CW6" s="45">
        <f>IFERROR(IF(AND('TaxaLimpeza (Proposta)'!$A6&lt;&gt;"", COUNTIF('Configuração-Imóvel'!$A:$A, $A6)&gt;0), CV6*CU6*CT6,"ID não encontrado"),Tabela1[[#This Row],[Valor por lavanderia '[R$/Kg']2]])</f>
        <v>51.345840000000003</v>
      </c>
      <c r="CX6" s="34">
        <f t="shared" si="1"/>
        <v>181.47916500000002</v>
      </c>
      <c r="CY6" s="68">
        <f>IFERROR(IF(A6="","",(VLOOKUP(A6,'Configuração-Imóvel'!$A$2:$R$21,16,FALSE)+VLOOKUP(A6,'Configuração-Imóvel'!$A$2:$R$21,17,FALSE))*VLOOKUP($CY$3,'BD - Amenities'!$B$2:$E$7,4,FALSE)),"ID não encontrado")</f>
        <v>0.5</v>
      </c>
      <c r="CZ6" s="69">
        <f>IFERROR(IF(A6="","",(VLOOKUP(A6,'Configuração-Imóvel'!$A$2:$R$21,16,FALSE)+VLOOKUP(A6,'Configuração-Imóvel'!$A$2:$R$21,17,FALSE))*VLOOKUP($CZ$3,'BD - Amenities'!$B$2:$E$7,4,FALSE)),"ID não encontrado")</f>
        <v>4</v>
      </c>
      <c r="DA6" s="69">
        <f>IFERROR(IF(A6="","",VLOOKUP(A6,'Configuração-Imóvel'!$A$2:$R$21,16,FALSE)*VLOOKUP($DA$3,'BD - Amenities'!$B$2:$E$7,4,FALSE)),"ID não encontrado")</f>
        <v>1.5</v>
      </c>
      <c r="DB6" s="69">
        <f>IFERROR(IF(A6="","",VLOOKUP(A6,'Configuração-Imóvel'!$A$2:$R$21,16,FALSE)*VLOOKUP($DB$3,'BD - Amenities'!$B$2:$E$7,4,FALSE)),"ID não encontrado")</f>
        <v>1.5</v>
      </c>
      <c r="DC6" s="35">
        <f t="shared" si="2"/>
        <v>7.5</v>
      </c>
      <c r="DD6" s="37">
        <f>IFERROR(IF(A6="","",VLOOKUP($DD$3,'BD - Material de Limpeza'!$A:$D,4,FALSE)),"ID não encontrado")</f>
        <v>2</v>
      </c>
      <c r="DE6" s="38">
        <f>IFERROR(IF(A6="","",VLOOKUP($DE$3,'BD - Material de Limpeza'!$A:$D,4,FALSE)),"ID não encontrado")</f>
        <v>2</v>
      </c>
      <c r="DF6" s="38">
        <f>IFERROR(IF(A6="","",VLOOKUP($DF$3,'BD - Material de Limpeza'!$A:$D,4,FALSE)),"ID não encontrado")</f>
        <v>1</v>
      </c>
      <c r="DG6" s="38">
        <f>IFERROR(IF(A6="","",VLOOKUP($DG$3,'BD - Material de Limpeza'!$A:$D,4,FALSE)),"ID não encontrado")</f>
        <v>1</v>
      </c>
      <c r="DH6" s="38">
        <f>IFERROR(IF(A6="","",VLOOKUP($DH$3,'BD - Material de Limpeza'!$A:$D,4,FALSE)),"ID não encontrado")</f>
        <v>1</v>
      </c>
      <c r="DI6" s="38">
        <f>IFERROR(IF(A6="","",VLOOKUP($DI$3,'BD - Material de Limpeza'!$A:$D,4,FALSE)),"ID não encontrado")</f>
        <v>1</v>
      </c>
      <c r="DJ6" s="38">
        <f>IFERROR(IF(A6="","",VLOOKUP($DJ$3,'BD - Material de Limpeza'!$A:$D,4,FALSE)),"ID não encontrado")</f>
        <v>1</v>
      </c>
      <c r="DK6" s="36">
        <f t="shared" si="0"/>
        <v>9</v>
      </c>
      <c r="DL6" s="72" cm="1">
        <f t="array" ref="DL6">IFERROR(IF('TaxaLimpeza (Proposta)'!$A6="","",INDEX('BD - Valor Limpeza Diarista'!B:B,INDEX('Configuração-Imóvel'!O:O,MATCH(A6,'Configuração-Imóvel'!A:A,0))+1,0)),"ID não encontrado")</f>
        <v>220</v>
      </c>
      <c r="DM6" s="67">
        <f t="shared" si="3"/>
        <v>459.77708150000007</v>
      </c>
      <c r="DN6" s="23" t="s">
        <v>177</v>
      </c>
      <c r="DP6" s="74"/>
    </row>
    <row r="7" spans="1:120" ht="15.75" customHeight="1">
      <c r="A7" s="65" t="s">
        <v>5</v>
      </c>
      <c r="B7" s="32" t="s">
        <v>154</v>
      </c>
      <c r="C7" s="32" t="s">
        <v>95</v>
      </c>
      <c r="D7" s="32" t="s">
        <v>155</v>
      </c>
      <c r="E7" s="33" t="s">
        <v>201</v>
      </c>
      <c r="F7" s="39">
        <f>IFERROR(IF(A7="",0,VLOOKUP(A7,'Estoque-Imóvel'!A:AC,6,FALSE)),"ID não encontrado")</f>
        <v>2</v>
      </c>
      <c r="G7" s="40">
        <f>IF(F7=0,0,IF(F7="ID não encontrado",0,IFERROR(VLOOKUP($F$2,'BD - Itens x Peso'!$A:$B,2,FALSE),"Nome ou Peso não encontrado")))</f>
        <v>0.24</v>
      </c>
      <c r="H7" s="41">
        <f>IFERROR(IF(C7="","Cidade não foi inserida",IF(F7=0,0,VLOOKUP(C7,'BD - Valor Lavanderia Por Item'!A:R,2,FALSE))),"Cidade não encontrada")</f>
        <v>2.7519999999999998</v>
      </c>
      <c r="I7" s="42">
        <f>IFERROR(IF(AND('TaxaLimpeza (Proposta)'!$A7&lt;&gt;"", COUNTIF('Configuração-Imóvel'!$A:$A, $A7)&gt;0), H7*G7*F7,"ID não encontrado"),H7)</f>
        <v>1.3209599999999999</v>
      </c>
      <c r="J7" s="43">
        <f>IFERROR(IF(A7="",0,VLOOKUP(A7,'Estoque-Imóvel'!A:AC,7,FALSE)),"ID não encontrado")</f>
        <v>2</v>
      </c>
      <c r="K7" s="40">
        <f>IF(J7=0,0,IF(J7="ID não encontrado",0,IFERROR(VLOOKUP($J$2,'BD - Itens x Peso'!$A:$B,2,FALSE),"Nome ou Peso não encontrado")))</f>
        <v>0.16</v>
      </c>
      <c r="L7" s="41">
        <f>IFERROR(IF(C7="","Cidade não foi inserida",IF(J7=0,0,VLOOKUP(C7,'BD - Valor Lavanderia Por Item'!A:R,3,FALSE))),"Cidade não encontrada")</f>
        <v>3.5345</v>
      </c>
      <c r="M7" s="41">
        <f>IFERROR(IF(AND('TaxaLimpeza (Proposta)'!$A7&lt;&gt;"", COUNTIF('Configuração-Imóvel'!$A:$A, $A7)&gt;0), L7*K7*J7,"ID não encontrado"),Tabela1[[#This Row],[Valor por lavanderia '[R$/Kg']4]])</f>
        <v>1.13104</v>
      </c>
      <c r="N7" s="44">
        <f>IFERROR(IF(A7="",0,VLOOKUP(A7,'Estoque-Imóvel'!A:AC,8,FALSE)),"ID não encontrado")</f>
        <v>0</v>
      </c>
      <c r="O7" s="40">
        <f>IF(N7=0,0,IF(N7="ID não encontrado",0,IFERROR(VLOOKUP($N$2,'BD - Itens x Peso'!$A:$B,2,FALSE),"Nome ou Peso não encontrado")))</f>
        <v>0</v>
      </c>
      <c r="P7" s="42">
        <f>IFERROR(IF(C7="","Cidade não foi inserida",IF(N7=0,0,VLOOKUP(C7,'BD - Valor Lavanderia Por Item'!A:R,2,FALSE))),"Cidade não encontrada")</f>
        <v>0</v>
      </c>
      <c r="Q7" s="42">
        <f>IFERROR(IF(AND('TaxaLimpeza (Proposta)'!$A7&lt;&gt;"", COUNTIF('Configuração-Imóvel'!$A:$A, $A7)&gt;0), P7*O7*N7,"ID não encontrado"),Tabela1[[#This Row],[Valor por lavanderia '[R$/Kg']8]])</f>
        <v>0</v>
      </c>
      <c r="R7" s="44">
        <f>IFERROR(IF(A7="",0,VLOOKUP(A7,'Estoque-Imóvel'!A:AC,9,FALSE)),"ID não encontrado")</f>
        <v>7</v>
      </c>
      <c r="S7" s="40">
        <f>IF(R7=0,0,IF(R7="ID não encontrado",0,IFERROR(VLOOKUP($R$2,'BD - Itens x Peso'!$A:$B,2,FALSE),"Nome ou Peso não encontrado")))</f>
        <v>0.39</v>
      </c>
      <c r="T7" s="42">
        <f>IFERROR(IF(C7="","Cidade não foi inserida",IF(R7=0,0,VLOOKUP(C7,'BD - Valor Lavanderia Por Item'!A:R,4,FALSE))),"Cidade não encontrada")</f>
        <v>4.7865000000000002</v>
      </c>
      <c r="U7" s="42">
        <f>IFERROR(IF(AND('TaxaLimpeza (Proposta)'!$A7&lt;&gt;"", COUNTIF('Configuração-Imóvel'!$A:$A, $A7)&gt;0), T7*S7*R7,"ID não encontrado"),Tabela1[[#This Row],[Valor por lavanderia '[R$/Kg']12]])</f>
        <v>13.067145</v>
      </c>
      <c r="V7" s="44">
        <f>IFERROR(IF(A7="",0,VLOOKUP(A7,'Estoque-Imóvel'!A:AC,10,FALSE)),"ID não encontrado")</f>
        <v>0</v>
      </c>
      <c r="W7" s="40">
        <f>IF(V7=0,0,IF(V7="ID não encontrado",0,IFERROR(VLOOKUP($V$2,'BD - Itens x Peso'!$A:$B,2,FALSE),"Nome ou Peso não encontrado")))</f>
        <v>0</v>
      </c>
      <c r="X7" s="42">
        <f>IFERROR(IF(C7="","Cidade não foi inserida",IF(V7=0,0,VLOOKUP(C7,'BD - Valor Lavanderia Por Item'!A:R,3,FALSE))),"Cidade não encontrada")</f>
        <v>0</v>
      </c>
      <c r="Y7" s="42">
        <f>IFERROR(IF(AND('TaxaLimpeza (Proposta)'!$A7&lt;&gt;"", COUNTIF('Configuração-Imóvel'!$A:$A, $A7)&gt;0), X7*W7*V7,"ID não encontrado"),Tabela1[[#This Row],[Valor por lavanderia '[R$/Kg']16]])</f>
        <v>0</v>
      </c>
      <c r="Z7" s="44">
        <f>IFERROR(IF(A7="",0,VLOOKUP(A7,'Estoque-Imóvel'!A:AC,11,FALSE)),"ID não encontrado")</f>
        <v>0</v>
      </c>
      <c r="AA7" s="40">
        <f>IF(Z7=0,0,IF(Z7="ID não encontrado",0,IFERROR(VLOOKUP($Z$2,'BD - Itens x Peso'!$A:$B,2,FALSE),"Nome ou Peso não encontrado")))</f>
        <v>0</v>
      </c>
      <c r="AB7" s="42">
        <f>IFERROR(IF(C7="","Cidade não foi inserida",IF(Z7=0,0,VLOOKUP(C7,'BD - Valor Lavanderia Por Item'!A:R,3,FALSE))),"Cidade não encontrada")</f>
        <v>0</v>
      </c>
      <c r="AC7" s="42">
        <f>IFERROR(IF(AND('TaxaLimpeza (Proposta)'!$A7&lt;&gt;"", COUNTIF('Configuração-Imóvel'!$A:$A, $A7)&gt;0), AB7*AA7*Z7,"ID não encontrado"),Tabela1[[#This Row],[Valor por lavanderia '[R$/Kg']20]])</f>
        <v>0</v>
      </c>
      <c r="AD7" s="44">
        <f>IFERROR(IF(A7="",0,VLOOKUP(A7,'Estoque-Imóvel'!A:AC,12,FALSE)),"ID não encontrado")</f>
        <v>3</v>
      </c>
      <c r="AE7" s="40">
        <f>IF(AD7=0,0,IF(AD7="ID não encontrado",0,IFERROR(VLOOKUP($AD$2,'BD - Itens x Peso'!$A:$B,2,FALSE),"Nome ou Peso não encontrado")))</f>
        <v>1.01</v>
      </c>
      <c r="AF7" s="42">
        <f>IFERROR(IF(C7="","Cidade não foi inserida",IF(AD7=0,0,VLOOKUP(C7,'BD - Valor Lavanderia Por Item'!A:R,9,FALSE))),"Cidade não encontrada")</f>
        <v>9.3249999999999993</v>
      </c>
      <c r="AG7" s="42">
        <f>IFERROR(IF(AND('TaxaLimpeza (Proposta)'!$A7&lt;&gt;"", COUNTIF('Configuração-Imóvel'!$A:$A, $A7)&gt;0), AF7*AE7*AD7,"ID não encontrado"),Tabela1[[#This Row],[Valor por lavanderia '[R$/Kg']24]])</f>
        <v>28.254749999999994</v>
      </c>
      <c r="AH7" s="44">
        <f>IFERROR(IF(A7="",0,VLOOKUP(A7,'Estoque-Imóvel'!A:AC,13,FALSE)),"ID não encontrado")</f>
        <v>6</v>
      </c>
      <c r="AI7" s="40">
        <f>IF(AH7=0,0,IF(AH7="ID não encontrado",0,IFERROR(VLOOKUP($AH$2,'BD - Itens x Peso'!$A:$B,2,FALSE),"Nome ou Peso não encontrado")))</f>
        <v>0.3</v>
      </c>
      <c r="AJ7" s="42">
        <f>IFERROR(IF(C7="","Cidade não foi inserida",IF(AH7=0,0,VLOOKUP(C7,'BD - Valor Lavanderia Por Item'!A:R,6,FALSE))),"Cidade não encontrada")</f>
        <v>6.1950000000000003</v>
      </c>
      <c r="AK7" s="42">
        <f>IFERROR(IF(AND('TaxaLimpeza (Proposta)'!$A7&lt;&gt;"", COUNTIF('Configuração-Imóvel'!$A:$A, $A7)&gt;0), AJ7*AI7*AH7,"ID não encontrado"),Tabela1[[#This Row],[Valor por lavanderia '[R$/Kg']28]])</f>
        <v>11.151</v>
      </c>
      <c r="AL7" s="44">
        <f>IFERROR(IF(A7="",0,VLOOKUP(A7,'Estoque-Imóvel'!A:AC,14,FALSE)),"ID não encontrado")</f>
        <v>4</v>
      </c>
      <c r="AM7" s="40">
        <f>IF(AL7=0,0,IF(AL7="ID não encontrado",0,IFERROR(VLOOKUP($AL$2,'BD - Itens x Peso'!$A:$B,2,FALSE),"Nome ou Peso não encontrado")))</f>
        <v>0.3</v>
      </c>
      <c r="AN7" s="42">
        <f>IFERROR(IF(C7="","Cidade não foi inserida",IF(AL7=0,0,VLOOKUP(C7,'BD - Valor Lavanderia Por Item'!A:R,8,FALSE))),"Cidade não encontrada")</f>
        <v>8.5425000000000004</v>
      </c>
      <c r="AO7" s="42">
        <f>IFERROR(IF(AND('TaxaLimpeza (Proposta)'!$A7&lt;&gt;"", COUNTIF('Configuração-Imóvel'!$A:$A, $A7)&gt;0), AN7*AM7*AL7,"ID não encontrado"),Tabela1[[#This Row],[Valor por lavanderia '[R$/Kg']32]])</f>
        <v>10.250999999999999</v>
      </c>
      <c r="AP7" s="44">
        <f>IFERROR(IF(A7="",0,VLOOKUP(A7,'Estoque-Imóvel'!A:AC,15,FALSE)),"ID não encontrado")</f>
        <v>0</v>
      </c>
      <c r="AQ7" s="40">
        <f>IF(AP7=0,0,IF(AP7="ID não encontrado",0,IFERROR(VLOOKUP($AP$2,'BD - Itens x Peso'!$A:$B,2,FALSE),"Nome ou Peso não encontrado")))</f>
        <v>0</v>
      </c>
      <c r="AR7" s="42">
        <f>IFERROR(IF(C7="","Cidade não foi inserida",IF(AP7=0,0,VLOOKUP(C7,'BD - Valor Lavanderia Por Item'!A:R,8,FALSE))),"Cidade não encontrada")</f>
        <v>0</v>
      </c>
      <c r="AS7" s="42">
        <f>IFERROR(IF(AND('TaxaLimpeza (Proposta)'!$A7&lt;&gt;"", COUNTIF('Configuração-Imóvel'!$A:$A, $A7)&gt;0), AR7*AQ7*AP7,"ID não encontrado"),Tabela1[[#This Row],[Valor por lavanderia '[R$/Kg']36]])</f>
        <v>0</v>
      </c>
      <c r="AT7" s="44">
        <f>IFERROR(IF(A7="",0,VLOOKUP(A7,'Estoque-Imóvel'!A:AC,16,FALSE)),"ID não encontrado")</f>
        <v>0</v>
      </c>
      <c r="AU7" s="40">
        <f>IF(AT7=0,0,IF(AT7="ID não encontrado",0,IFERROR(VLOOKUP($AT$2,'BD - Itens x Peso'!$A:$B,2,FALSE),"Nome ou Peso não encontrado")))</f>
        <v>0</v>
      </c>
      <c r="AV7" s="42">
        <f>IFERROR(IF(C7="","Cidade não foi inserida",IF(AT7=0,0,VLOOKUP(C7,'BD - Valor Lavanderia Por Item'!A:R,7,FALSE))),"Cidade não encontrada")</f>
        <v>0</v>
      </c>
      <c r="AW7" s="42">
        <f>IFERROR(IF(AND('TaxaLimpeza (Proposta)'!$A7&lt;&gt;"", COUNTIF('Configuração-Imóvel'!$A:$A, $A7)&gt;0), AV7*AU7*AT7,"ID não encontrado"),Tabela1[[#This Row],[Valor por lavanderia '[R$/Kg']40]])</f>
        <v>0</v>
      </c>
      <c r="AX7" s="44">
        <f>IFERROR(IF(A7="",0,VLOOKUP(A7,'Estoque-Imóvel'!A:AC,17,FALSE)),"Code não encontrado")</f>
        <v>7</v>
      </c>
      <c r="AY7" s="40">
        <f>IF(AX7=0,0,IF(AX7="ID não encontrado",0,IFERROR(VLOOKUP($AX$2,'BD - Itens x Peso'!$A:$B,2,FALSE),"Nome ou Peso não encontrado")))</f>
        <v>0.19</v>
      </c>
      <c r="AZ7" s="42">
        <f>IFERROR(IF(C7="","Cidade não foi inserida",IF(AX7=0,0,VLOOKUP(C7,'BD - Valor Lavanderia Por Item'!A:R,5,FALSE))),"Cidade não encontrada")</f>
        <v>3.0649999999999999</v>
      </c>
      <c r="BA7" s="42">
        <f>IFERROR(IF(AND('TaxaLimpeza (Proposta)'!$A7&lt;&gt;"", COUNTIF('Configuração-Imóvel'!$A:$A, $A7)&gt;0), AZ7*AY7*AX7,"ID não encontrado"),Tabela1[[#This Row],[Valor por lavanderia '[R$/Kg']44]])</f>
        <v>4.0764500000000004</v>
      </c>
      <c r="BB7" s="44">
        <f>IFERROR(IF(A7="",0,VLOOKUP(A7,'Estoque-Imóvel'!A:AC,18,FALSE)),"ID não encontrado")</f>
        <v>0</v>
      </c>
      <c r="BC7" s="40">
        <f>IF(BB7=0,0,IF(BB7="ID não encontrado",0,IFERROR(VLOOKUP($BB$2,'BD - Itens x Peso'!$A:$B,2,FALSE),"Nome ou Peso não encontrado")))</f>
        <v>0</v>
      </c>
      <c r="BD7" s="42">
        <f>IFERROR(IF(C7="","Cidade não foi inserida",IF(BB7=0,0,VLOOKUP(C7,'BD - Valor Lavanderia Por Item'!A:R,11,FALSE))),"Cidade não encontrada")</f>
        <v>0</v>
      </c>
      <c r="BE7" s="42">
        <f>IFERROR(IF(AND('TaxaLimpeza (Proposta)'!$A7&lt;&gt;"", COUNTIF('Configuração-Imóvel'!$A:$A, $A7)&gt;0), BD7*BC7*BB7,"ID não encontrado"),Tabela1[[#This Row],[Valor por lavanderia '[R$/Kg']48]])</f>
        <v>0</v>
      </c>
      <c r="BF7" s="44">
        <f>IFERROR(IF(A7="",0,VLOOKUP(A7,'Estoque-Imóvel'!A:AC,19,FALSE)),"ID não encontrado")</f>
        <v>2</v>
      </c>
      <c r="BG7" s="40">
        <f>IF(BF7=0,0,IF(BF7="ID não encontrado",0,IFERROR(VLOOKUP($BF$2,'BD - Itens x Peso'!$A:$B,2,FALSE),"Nome ou Peso não encontrado")))</f>
        <v>2.62</v>
      </c>
      <c r="BH7" s="42">
        <f>IFERROR(IF(C7="","Cidade não foi inserida",IF(BF7=0,0,VLOOKUP(C7,'BD - Valor Lavanderia Por Item'!A:R,13,FALSE))),"Cidade não encontrada")</f>
        <v>41.7575</v>
      </c>
      <c r="BI7" s="42">
        <f>IFERROR(IF(AND('TaxaLimpeza (Proposta)'!$A7&lt;&gt;"", COUNTIF('Configuração-Imóvel'!$A:$A, $A7)&gt;0), BH7*BG7*BF7,"ID não encontrado"),Tabela1[[#This Row],[Valor por lavanderia '[R$/Kg']52]])</f>
        <v>218.80930000000001</v>
      </c>
      <c r="BJ7" s="44">
        <f>IFERROR(IF(A7="",0,VLOOKUP(A7,'Estoque-Imóvel'!A:AC,20,FALSE)),"ID não encontrado")</f>
        <v>0</v>
      </c>
      <c r="BK7" s="40">
        <f>IF(BJ7=0,0,IF(BJ7="ID não encontrado",0,IFERROR(VLOOKUP($BJ$2,'BD - Itens x Peso'!$A:$B,2,FALSE),"Nome ou Peso não encontrado")))</f>
        <v>0</v>
      </c>
      <c r="BL7" s="42">
        <f>IFERROR(IF(C7="","Cidade não foi inserida",IF(BJ7=0,0,VLOOKUP(C7,'BD - Valor Lavanderia Por Item'!A:R,13,FALSE))),"Cidade não encontrada")</f>
        <v>0</v>
      </c>
      <c r="BM7" s="42">
        <f>IFERROR(IF(AND('TaxaLimpeza (Proposta)'!$A7&lt;&gt;"", COUNTIF('Configuração-Imóvel'!$A:$A, $A7)&gt;0), BL7*BK7*BJ7,"ID não encontrado"),Tabela1[[#This Row],[Valor por lavanderia '[R$/Kg']56]])</f>
        <v>0</v>
      </c>
      <c r="BN7" s="44">
        <f>IFERROR(IF(A7="",0,VLOOKUP(A7,'Estoque-Imóvel'!A:AC,21,FALSE)),"ID não encontrado")</f>
        <v>0</v>
      </c>
      <c r="BO7" s="40">
        <f>IF(BN7=0,0,IF(BN7="ID não encontrado",0,IFERROR(VLOOKUP($BN$2,'BD - Itens x Peso'!$A:$B,2,FALSE),"Nome ou Peso não encontrado")))</f>
        <v>0</v>
      </c>
      <c r="BP7" s="42">
        <f>IFERROR(IF(C7="","Cidade não foi inserida",IF(BN7=0,0,VLOOKUP(C7,'BD - Valor Lavanderia Por Item'!A:R,13,FALSE))),"Cidade não encontrada")</f>
        <v>0</v>
      </c>
      <c r="BQ7" s="42">
        <f>IFERROR(IF(AND('TaxaLimpeza (Proposta)'!$A7&lt;&gt;"", COUNTIF('Configuração-Imóvel'!$A:$A, $A7)&gt;0), BP7*BO7*BN7,"ID não encontrado"),Tabela1[[#This Row],[Valor por lavanderia '[R$/Kg']60]])</f>
        <v>0</v>
      </c>
      <c r="BR7" s="44">
        <f>IFERROR(IF(A7="",0,VLOOKUP(A7,'Estoque-Imóvel'!A:AC,22,FALSE)),"ID não encontrado")</f>
        <v>0</v>
      </c>
      <c r="BS7" s="40">
        <f>IF(BR7=0,0,IF(BR7="ID não encontrado",0,IFERROR(VLOOKUP($BR$2,'BD - Itens x Peso'!$A:$B,2,FALSE),"Nome ou Peso não encontrado. Utilizado o Edredom Solteiro como referência")))</f>
        <v>0</v>
      </c>
      <c r="BT7" s="42">
        <f>IFERROR(IF(C7="","Cidade não foi inserida",IF(BR7=0,0,VLOOKUP(C7,'BD - Valor Lavanderia Por Item'!A:R,11,FALSE))),"Cidade não encontrada")</f>
        <v>0</v>
      </c>
      <c r="BU7" s="42">
        <f>IFERROR(IF(AND('TaxaLimpeza (Proposta)'!$A7&lt;&gt;"", COUNTIF('Configuração-Imóvel'!$A:$A, $A7)&gt;0), BT7*BS7*BR7,"ID não encontrado"),BT7*VLOOKUP($BB$2,'BD - Itens x Peso'!$A:$B,2,FALSE)*BR7)</f>
        <v>0</v>
      </c>
      <c r="BV7" s="44">
        <f>IFERROR(IF(A7="",0,VLOOKUP(A7,'Estoque-Imóvel'!A:AC,23,FALSE)),"ID não encontrado")</f>
        <v>0</v>
      </c>
      <c r="BW7" s="40">
        <f>IF(BV7=0,0,IF(BV7="ID não encontrado",0,IFERROR(VLOOKUP($BV$2,'BD - Itens x Peso'!$A:$B,2,FALSE),"Nome ou Peso não encontrado. Utilizado o Edredom Queen Size como referência")))</f>
        <v>0</v>
      </c>
      <c r="BX7" s="42">
        <f>IFERROR(IF(C7="","Cidade não foi inserida",IF(BV7=0,0,VLOOKUP(C7,'BD - Valor Lavanderia Por Item'!A:R,13,FALSE))),"Cidade não encontrada")</f>
        <v>0</v>
      </c>
      <c r="BY7" s="42">
        <f>IFERROR(IF(AND('TaxaLimpeza (Proposta)'!$A7&lt;&gt;"",COUNTIF('Configuração-Imóvel'!$A:$A,$A7)&gt;0),BX7*BW7*BV7,"ID não encontrado"),BX7*(VLOOKUP($BF$2,'BD - Itens x Peso'!$A:$B,2,FALSE)*BV7))</f>
        <v>0</v>
      </c>
      <c r="BZ7" s="44">
        <f>IFERROR(IF(A7="",0,VLOOKUP(A7,'Estoque-Imóvel'!A:AC,24,FALSE)),"ID não encontrado")</f>
        <v>0</v>
      </c>
      <c r="CA7" s="40">
        <f>IF(BZ7=0,0,IF(BZ7="ID não encontrado",0,IFERROR(VLOOKUP($BZ$2,'BD - Itens x Peso'!$A:$B,2,FALSE),"Nome ou Peso não encontrado. Utilizado o peso do Edredom Casal como referência")))</f>
        <v>0</v>
      </c>
      <c r="CB7" s="42">
        <f>IFERROR(IF(C7="","Cidade não foi inserida",IF(BZ7=0,0,VLOOKUP(C7,'BD - Valor Lavanderia Por Item'!A:R,12,FALSE))),"Cidade não encontrada")</f>
        <v>0</v>
      </c>
      <c r="CC7" s="42">
        <f>IFERROR(IF(AND('TaxaLimpeza (Proposta)'!$A7&lt;&gt;"", COUNTIF('Configuração-Imóvel'!$A:$A, $A7)&gt;0), CB7*CA7*BZ7,"ID não encontrado"),VLOOKUP($BN$2,'BD - Itens x Peso'!$A:$B,2,FALSE)*CB7*BZ7)</f>
        <v>0</v>
      </c>
      <c r="CD7" s="44">
        <f>IFERROR(IF(A7="",0,VLOOKUP(A7,'Estoque-Imóvel'!A:AC,25,FALSE)),"ID não encontrado")</f>
        <v>0</v>
      </c>
      <c r="CE7" s="40">
        <f>IF(CD7=0,0,IF(CD7="ID não encontrado",0,IFERROR(VLOOKUP($CD$2,'BD - Itens x Peso'!$A:$B,2,FALSE),"Nome ou Peso não encontrado. Utilizado o Edredom Queen Size como referência")))</f>
        <v>0</v>
      </c>
      <c r="CF7" s="42">
        <f>IFERROR(IF(C7="","Cidade não foi inserida",IF(CD7=0,0,VLOOKUP(C7,'BD - Valor Lavanderia Por Item'!A:R,13,FALSE))),"Cidade não encontrada")</f>
        <v>0</v>
      </c>
      <c r="CG7" s="42">
        <f>IFERROR(IF(AND('TaxaLimpeza (Proposta)'!$A7&lt;&gt;"", COUNTIF('Configuração-Imóvel'!$A:$A, $A7)&gt;0), CF7*CE7*CD7,"ID não encontrado"),VLOOKUP($BF$2,'BD - Itens x Peso'!$A:$B,2,FALSE)*CF7*CD7)</f>
        <v>0</v>
      </c>
      <c r="CH7" s="44">
        <f>IFERROR(IF(A7="",0,VLOOKUP(A7,'Estoque-Imóvel'!A:AC,26,FALSE)),"ID não encontrado")</f>
        <v>0</v>
      </c>
      <c r="CI7" s="40">
        <f>IF(CH7=0,0,IF(CH7="ID não encontrado",0,IFERROR(VLOOKUP($CH$2,'BD - Itens x Peso'!$A:$B,2,FALSE),"Nome ou Peso não encontrado")))</f>
        <v>0</v>
      </c>
      <c r="CJ7" s="42">
        <f>IFERROR(IF(C7="","Cidade não foi inserida",IF(CH7=0,0,VLOOKUP(C7,'BD - Valor Lavanderia Por Item'!A:R,15,FALSE))),"Cidade não encontrada")</f>
        <v>0</v>
      </c>
      <c r="CK7" s="42">
        <f>IFERROR(IF(AND('TaxaLimpeza (Proposta)'!$A7&lt;&gt;"", COUNTIF('Configuração-Imóvel'!$A:$A, $A7)&gt;0), CJ7*CI7*CH7,"ID não encontrado"),Tabela1[[#This Row],[Valor por lavanderia '[R$/Kg']80]])</f>
        <v>0</v>
      </c>
      <c r="CL7" s="44">
        <f>IFERROR(IF(A7="",0,VLOOKUP(A7,'Estoque-Imóvel'!A:AC,27,FALSE)),"ID não encontrado")</f>
        <v>2</v>
      </c>
      <c r="CM7" s="40">
        <f>IF(CL7=0,0,IF(CL7="ID não encontrado",0,IFERROR(VLOOKUP($CL$2,'BD - Itens x Peso'!$A:$B,2,FALSE),"Nome ou Peso não encontrado")))</f>
        <v>1.56</v>
      </c>
      <c r="CN7" s="42">
        <f>IFERROR(IF(C7="","Cidade não foi inserida",IF(CL7=0,0,VLOOKUP(C7,'BD - Valor Lavanderia Por Item'!A:R,17,FALSE))),"Cidade não encontrada")</f>
        <v>16.457000000000001</v>
      </c>
      <c r="CO7" s="42">
        <f>IFERROR(IF(AND('TaxaLimpeza (Proposta)'!$A7&lt;&gt;"", COUNTIF('Configuração-Imóvel'!$A:$A, $A7)&gt;0), CN7*CM7*CL7,"ID não encontrado"),Tabela1[[#This Row],[Valor por lavanderia '[R$/Kg']84]])</f>
        <v>51.345840000000003</v>
      </c>
      <c r="CP7" s="44">
        <f>IFERROR(IF(A7="",0,VLOOKUP(A7,'Estoque-Imóvel'!A:AC,28,FALSE)),"ID não encontrado")</f>
        <v>0</v>
      </c>
      <c r="CQ7" s="40">
        <f>IF(CP7=0,0,IF(CP7="ID não encontrado",0,IFERROR(VLOOKUP($CP$2,'BD - Itens x Peso'!$A:$B,2,FALSE),"Nome ou Peso não encontrado")))</f>
        <v>0</v>
      </c>
      <c r="CR7" s="42">
        <f>IFERROR(IF(C7="","Cidade não foi inserida",IF(CP7=0,0,VLOOKUP(C7,'BD - Valor Lavanderia Por Item'!A:R,18,FALSE))),"Cidade não encontrada")</f>
        <v>0</v>
      </c>
      <c r="CS7" s="42">
        <f>IFERROR(IF(AND('TaxaLimpeza (Proposta)'!$A7&lt;&gt;"", COUNTIF('Configuração-Imóvel'!$A:$A, $A7)&gt;0), CR7*CQ7*CP7,"ID não encontrado"),Tabela1[[#This Row],[Valor por lavanderia '[R$/Kg']3]])</f>
        <v>0</v>
      </c>
      <c r="CT7" s="44">
        <f>IFERROR(IF(A7="",0,VLOOKUP(A7,'Estoque-Imóvel'!A:AC,29,FALSE)),"ID não encontrado")</f>
        <v>0</v>
      </c>
      <c r="CU7" s="40">
        <f>IF(CT7=0,0,IF(CT7="ID não encontrado",0,IFERROR(VLOOKUP($CT$2,'BD - Itens x Peso'!$A:$B,2,FALSE),"Nome ou Peso não encontrado")))</f>
        <v>0</v>
      </c>
      <c r="CV7" s="42">
        <f>IFERROR(IF(C7="","Cidade não foi inserida",IF(CT7=0,0,VLOOKUP(C7,'BD - Valor Lavanderia Por Item'!A:R,16,FALSE))),"Cidade não encontrada")</f>
        <v>0</v>
      </c>
      <c r="CW7" s="45">
        <f>IFERROR(IF(AND('TaxaLimpeza (Proposta)'!$A7&lt;&gt;"", COUNTIF('Configuração-Imóvel'!$A:$A, $A7)&gt;0), CV7*CU7*CT7,"ID não encontrado"),Tabela1[[#This Row],[Valor por lavanderia '[R$/Kg']2]])</f>
        <v>0</v>
      </c>
      <c r="CX7" s="34">
        <f t="shared" si="1"/>
        <v>339.40748500000001</v>
      </c>
      <c r="CY7" s="68">
        <f>IFERROR(IF(A7="","",(VLOOKUP(A7,'Configuração-Imóvel'!$A$2:$R$21,16,FALSE)+VLOOKUP(A7,'Configuração-Imóvel'!$A$2:$R$21,17,FALSE))*VLOOKUP($CY$3,'BD - Amenities'!$B$2:$E$7,4,FALSE)),"ID não encontrado")</f>
        <v>0.5</v>
      </c>
      <c r="CZ7" s="69">
        <f>IFERROR(IF(A7="","",(VLOOKUP(A7,'Configuração-Imóvel'!$A$2:$R$21,16,FALSE)+VLOOKUP(A7,'Configuração-Imóvel'!$A$2:$R$21,17,FALSE))*VLOOKUP($CZ$3,'BD - Amenities'!$B$2:$E$7,4,FALSE)),"ID não encontrado")</f>
        <v>4</v>
      </c>
      <c r="DA7" s="69">
        <f>IFERROR(IF(A7="","",VLOOKUP(A7,'Configuração-Imóvel'!$A$2:$R$21,16,FALSE)*VLOOKUP($DA$3,'BD - Amenities'!$B$2:$E$7,4,FALSE)),"ID não encontrado")</f>
        <v>1.5</v>
      </c>
      <c r="DB7" s="69">
        <f>IFERROR(IF(A7="","",VLOOKUP(A7,'Configuração-Imóvel'!$A$2:$R$21,16,FALSE)*VLOOKUP($DB$3,'BD - Amenities'!$B$2:$E$7,4,FALSE)),"ID não encontrado")</f>
        <v>1.5</v>
      </c>
      <c r="DC7" s="35">
        <f t="shared" si="2"/>
        <v>7.5</v>
      </c>
      <c r="DD7" s="37">
        <f>IFERROR(IF(A7="","",VLOOKUP($DD$3,'BD - Material de Limpeza'!$A:$D,4,FALSE)),"ID não encontrado")</f>
        <v>2</v>
      </c>
      <c r="DE7" s="38">
        <f>IFERROR(IF(A7="","",VLOOKUP($DE$3,'BD - Material de Limpeza'!$A:$D,4,FALSE)),"ID não encontrado")</f>
        <v>2</v>
      </c>
      <c r="DF7" s="38">
        <f>IFERROR(IF(A7="","",VLOOKUP($DF$3,'BD - Material de Limpeza'!$A:$D,4,FALSE)),"ID não encontrado")</f>
        <v>1</v>
      </c>
      <c r="DG7" s="38">
        <f>IFERROR(IF(A7="","",VLOOKUP($DG$3,'BD - Material de Limpeza'!$A:$D,4,FALSE)),"ID não encontrado")</f>
        <v>1</v>
      </c>
      <c r="DH7" s="38">
        <f>IFERROR(IF(A7="","",VLOOKUP($DH$3,'BD - Material de Limpeza'!$A:$D,4,FALSE)),"ID não encontrado")</f>
        <v>1</v>
      </c>
      <c r="DI7" s="38">
        <f>IFERROR(IF(A7="","",VLOOKUP($DI$3,'BD - Material de Limpeza'!$A:$D,4,FALSE)),"ID não encontrado")</f>
        <v>1</v>
      </c>
      <c r="DJ7" s="38">
        <f>IFERROR(IF(A7="","",VLOOKUP($DJ$3,'BD - Material de Limpeza'!$A:$D,4,FALSE)),"ID não encontrado")</f>
        <v>1</v>
      </c>
      <c r="DK7" s="36">
        <f t="shared" si="0"/>
        <v>9</v>
      </c>
      <c r="DL7" s="72" cm="1">
        <f t="array" ref="DL7">IFERROR(IF('TaxaLimpeza (Proposta)'!$A7="","",INDEX('BD - Valor Limpeza Diarista'!B:B,INDEX('Configuração-Imóvel'!O:O,MATCH(A7,'Configuração-Imóvel'!A:A,0))+1,0)),"ID não encontrado")</f>
        <v>220</v>
      </c>
      <c r="DM7" s="67">
        <f t="shared" si="3"/>
        <v>633.49823349999997</v>
      </c>
      <c r="DN7" s="23" t="s">
        <v>178</v>
      </c>
      <c r="DP7" s="74"/>
    </row>
    <row r="8" spans="1:120" ht="15.75" customHeight="1">
      <c r="A8" s="65" t="s">
        <v>6</v>
      </c>
      <c r="B8" s="32" t="s">
        <v>154</v>
      </c>
      <c r="C8" s="32" t="s">
        <v>95</v>
      </c>
      <c r="D8" s="32" t="s">
        <v>155</v>
      </c>
      <c r="E8" s="33" t="s">
        <v>201</v>
      </c>
      <c r="F8" s="39">
        <f>IFERROR(IF(A8="",0,VLOOKUP(A8,'Estoque-Imóvel'!A:AC,6,FALSE)),"ID não encontrado")</f>
        <v>2</v>
      </c>
      <c r="G8" s="40">
        <f>IF(F8=0,0,IF(F8="ID não encontrado",0,IFERROR(VLOOKUP($F$2,'BD - Itens x Peso'!$A:$B,2,FALSE),"Nome ou Peso não encontrado")))</f>
        <v>0.24</v>
      </c>
      <c r="H8" s="41">
        <f>IFERROR(IF(C8="","Cidade não foi inserida",IF(F8=0,0,VLOOKUP(C8,'BD - Valor Lavanderia Por Item'!A:R,2,FALSE))),"Cidade não encontrada")</f>
        <v>2.7519999999999998</v>
      </c>
      <c r="I8" s="42">
        <f>IFERROR(IF(AND('TaxaLimpeza (Proposta)'!$A8&lt;&gt;"", COUNTIF('Configuração-Imóvel'!$A:$A, $A8)&gt;0), H8*G8*F8,"ID não encontrado"),H8)</f>
        <v>1.3209599999999999</v>
      </c>
      <c r="J8" s="43">
        <f>IFERROR(IF(A8="",0,VLOOKUP(A8,'Estoque-Imóvel'!A:AC,7,FALSE)),"ID não encontrado")</f>
        <v>2</v>
      </c>
      <c r="K8" s="40">
        <f>IF(J8=0,0,IF(J8="ID não encontrado",0,IFERROR(VLOOKUP($J$2,'BD - Itens x Peso'!$A:$B,2,FALSE),"Nome ou Peso não encontrado")))</f>
        <v>0.16</v>
      </c>
      <c r="L8" s="41">
        <f>IFERROR(IF(C8="","Cidade não foi inserida",IF(J8=0,0,VLOOKUP(C8,'BD - Valor Lavanderia Por Item'!A:R,3,FALSE))),"Cidade não encontrada")</f>
        <v>3.5345</v>
      </c>
      <c r="M8" s="41">
        <f>IFERROR(IF(AND('TaxaLimpeza (Proposta)'!$A8&lt;&gt;"", COUNTIF('Configuração-Imóvel'!$A:$A, $A8)&gt;0), L8*K8*J8,"ID não encontrado"),Tabela1[[#This Row],[Valor por lavanderia '[R$/Kg']4]])</f>
        <v>1.13104</v>
      </c>
      <c r="N8" s="44">
        <f>IFERROR(IF(A8="",0,VLOOKUP(A8,'Estoque-Imóvel'!A:AC,8,FALSE)),"ID não encontrado")</f>
        <v>0</v>
      </c>
      <c r="O8" s="40">
        <f>IF(N8=0,0,IF(N8="ID não encontrado",0,IFERROR(VLOOKUP($N$2,'BD - Itens x Peso'!$A:$B,2,FALSE),"Nome ou Peso não encontrado")))</f>
        <v>0</v>
      </c>
      <c r="P8" s="42">
        <f>IFERROR(IF(C8="","Cidade não foi inserida",IF(N8=0,0,VLOOKUP(C8,'BD - Valor Lavanderia Por Item'!A:R,2,FALSE))),"Cidade não encontrada")</f>
        <v>0</v>
      </c>
      <c r="Q8" s="42">
        <f>IFERROR(IF(AND('TaxaLimpeza (Proposta)'!$A8&lt;&gt;"", COUNTIF('Configuração-Imóvel'!$A:$A, $A8)&gt;0), P8*O8*N8,"ID não encontrado"),Tabela1[[#This Row],[Valor por lavanderia '[R$/Kg']8]])</f>
        <v>0</v>
      </c>
      <c r="R8" s="44">
        <f>IFERROR(IF(A8="",0,VLOOKUP(A8,'Estoque-Imóvel'!A:AC,9,FALSE)),"ID não encontrado")</f>
        <v>7</v>
      </c>
      <c r="S8" s="40">
        <f>IF(R8=0,0,IF(R8="ID não encontrado",0,IFERROR(VLOOKUP($R$2,'BD - Itens x Peso'!$A:$B,2,FALSE),"Nome ou Peso não encontrado")))</f>
        <v>0.39</v>
      </c>
      <c r="T8" s="42">
        <f>IFERROR(IF(C8="","Cidade não foi inserida",IF(R8=0,0,VLOOKUP(C8,'BD - Valor Lavanderia Por Item'!A:R,4,FALSE))),"Cidade não encontrada")</f>
        <v>4.7865000000000002</v>
      </c>
      <c r="U8" s="42">
        <f>IFERROR(IF(AND('TaxaLimpeza (Proposta)'!$A8&lt;&gt;"", COUNTIF('Configuração-Imóvel'!$A:$A, $A8)&gt;0), T8*S8*R8,"ID não encontrado"),Tabela1[[#This Row],[Valor por lavanderia '[R$/Kg']12]])</f>
        <v>13.067145</v>
      </c>
      <c r="V8" s="44">
        <f>IFERROR(IF(A8="",0,VLOOKUP(A8,'Estoque-Imóvel'!A:AC,10,FALSE)),"ID não encontrado")</f>
        <v>0</v>
      </c>
      <c r="W8" s="40">
        <f>IF(V8=0,0,IF(V8="ID não encontrado",0,IFERROR(VLOOKUP($V$2,'BD - Itens x Peso'!$A:$B,2,FALSE),"Nome ou Peso não encontrado")))</f>
        <v>0</v>
      </c>
      <c r="X8" s="42">
        <f>IFERROR(IF(C8="","Cidade não foi inserida",IF(V8=0,0,VLOOKUP(C8,'BD - Valor Lavanderia Por Item'!A:R,3,FALSE))),"Cidade não encontrada")</f>
        <v>0</v>
      </c>
      <c r="Y8" s="42">
        <f>IFERROR(IF(AND('TaxaLimpeza (Proposta)'!$A8&lt;&gt;"", COUNTIF('Configuração-Imóvel'!$A:$A, $A8)&gt;0), X8*W8*V8,"ID não encontrado"),Tabela1[[#This Row],[Valor por lavanderia '[R$/Kg']16]])</f>
        <v>0</v>
      </c>
      <c r="Z8" s="44">
        <f>IFERROR(IF(A8="",0,VLOOKUP(A8,'Estoque-Imóvel'!A:AC,11,FALSE)),"ID não encontrado")</f>
        <v>0</v>
      </c>
      <c r="AA8" s="40">
        <f>IF(Z8=0,0,IF(Z8="ID não encontrado",0,IFERROR(VLOOKUP($Z$2,'BD - Itens x Peso'!$A:$B,2,FALSE),"Nome ou Peso não encontrado")))</f>
        <v>0</v>
      </c>
      <c r="AB8" s="42">
        <f>IFERROR(IF(C8="","Cidade não foi inserida",IF(Z8=0,0,VLOOKUP(C8,'BD - Valor Lavanderia Por Item'!A:R,3,FALSE))),"Cidade não encontrada")</f>
        <v>0</v>
      </c>
      <c r="AC8" s="42">
        <f>IFERROR(IF(AND('TaxaLimpeza (Proposta)'!$A8&lt;&gt;"", COUNTIF('Configuração-Imóvel'!$A:$A, $A8)&gt;0), AB8*AA8*Z8,"ID não encontrado"),Tabela1[[#This Row],[Valor por lavanderia '[R$/Kg']20]])</f>
        <v>0</v>
      </c>
      <c r="AD8" s="44">
        <f>IFERROR(IF(A8="",0,VLOOKUP(A8,'Estoque-Imóvel'!A:AC,12,FALSE)),"ID não encontrado")</f>
        <v>5</v>
      </c>
      <c r="AE8" s="40">
        <f>IF(AD8=0,0,IF(AD8="ID não encontrado",0,IFERROR(VLOOKUP($AD$2,'BD - Itens x Peso'!$A:$B,2,FALSE),"Nome ou Peso não encontrado")))</f>
        <v>1.01</v>
      </c>
      <c r="AF8" s="42">
        <f>IFERROR(IF(C8="","Cidade não foi inserida",IF(AD8=0,0,VLOOKUP(C8,'BD - Valor Lavanderia Por Item'!A:R,9,FALSE))),"Cidade não encontrada")</f>
        <v>9.3249999999999993</v>
      </c>
      <c r="AG8" s="42">
        <f>IFERROR(IF(AND('TaxaLimpeza (Proposta)'!$A8&lt;&gt;"", COUNTIF('Configuração-Imóvel'!$A:$A, $A8)&gt;0), AF8*AE8*AD8,"ID não encontrado"),Tabela1[[#This Row],[Valor por lavanderia '[R$/Kg']24]])</f>
        <v>47.091249999999995</v>
      </c>
      <c r="AH8" s="44">
        <f>IFERROR(IF(A8="",0,VLOOKUP(A8,'Estoque-Imóvel'!A:AC,13,FALSE)),"ID não encontrado")</f>
        <v>10</v>
      </c>
      <c r="AI8" s="40">
        <f>IF(AH8=0,0,IF(AH8="ID não encontrado",0,IFERROR(VLOOKUP($AH$2,'BD - Itens x Peso'!$A:$B,2,FALSE),"Nome ou Peso não encontrado")))</f>
        <v>0.3</v>
      </c>
      <c r="AJ8" s="42">
        <f>IFERROR(IF(C8="","Cidade não foi inserida",IF(AH8=0,0,VLOOKUP(C8,'BD - Valor Lavanderia Por Item'!A:R,6,FALSE))),"Cidade não encontrada")</f>
        <v>6.1950000000000003</v>
      </c>
      <c r="AK8" s="42">
        <f>IFERROR(IF(AND('TaxaLimpeza (Proposta)'!$A8&lt;&gt;"", COUNTIF('Configuração-Imóvel'!$A:$A, $A8)&gt;0), AJ8*AI8*AH8,"ID não encontrado"),Tabela1[[#This Row],[Valor por lavanderia '[R$/Kg']28]])</f>
        <v>18.585000000000001</v>
      </c>
      <c r="AL8" s="44">
        <f>IFERROR(IF(A8="",0,VLOOKUP(A8,'Estoque-Imóvel'!A:AC,14,FALSE)),"ID não encontrado")</f>
        <v>0</v>
      </c>
      <c r="AM8" s="40">
        <f>IF(AL8=0,0,IF(AL8="ID não encontrado",0,IFERROR(VLOOKUP($AL$2,'BD - Itens x Peso'!$A:$B,2,FALSE),"Nome ou Peso não encontrado")))</f>
        <v>0</v>
      </c>
      <c r="AN8" s="42">
        <f>IFERROR(IF(C8="","Cidade não foi inserida",IF(AL8=0,0,VLOOKUP(C8,'BD - Valor Lavanderia Por Item'!A:R,8,FALSE))),"Cidade não encontrada")</f>
        <v>0</v>
      </c>
      <c r="AO8" s="42">
        <f>IFERROR(IF(AND('TaxaLimpeza (Proposta)'!$A8&lt;&gt;"", COUNTIF('Configuração-Imóvel'!$A:$A, $A8)&gt;0), AN8*AM8*AL8,"ID não encontrado"),Tabela1[[#This Row],[Valor por lavanderia '[R$/Kg']32]])</f>
        <v>0</v>
      </c>
      <c r="AP8" s="44">
        <f>IFERROR(IF(A8="",0,VLOOKUP(A8,'Estoque-Imóvel'!A:AC,15,FALSE)),"ID não encontrado")</f>
        <v>0</v>
      </c>
      <c r="AQ8" s="40">
        <f>IF(AP8=0,0,IF(AP8="ID não encontrado",0,IFERROR(VLOOKUP($AP$2,'BD - Itens x Peso'!$A:$B,2,FALSE),"Nome ou Peso não encontrado")))</f>
        <v>0</v>
      </c>
      <c r="AR8" s="42">
        <f>IFERROR(IF(C8="","Cidade não foi inserida",IF(AP8=0,0,VLOOKUP(C8,'BD - Valor Lavanderia Por Item'!A:R,8,FALSE))),"Cidade não encontrada")</f>
        <v>0</v>
      </c>
      <c r="AS8" s="42">
        <f>IFERROR(IF(AND('TaxaLimpeza (Proposta)'!$A8&lt;&gt;"", COUNTIF('Configuração-Imóvel'!$A:$A, $A8)&gt;0), AR8*AQ8*AP8,"ID não encontrado"),Tabela1[[#This Row],[Valor por lavanderia '[R$/Kg']36]])</f>
        <v>0</v>
      </c>
      <c r="AT8" s="44">
        <f>IFERROR(IF(A8="",0,VLOOKUP(A8,'Estoque-Imóvel'!A:AC,16,FALSE)),"ID não encontrado")</f>
        <v>2</v>
      </c>
      <c r="AU8" s="40">
        <f>IF(AT8=0,0,IF(AT8="ID não encontrado",0,IFERROR(VLOOKUP($AT$2,'BD - Itens x Peso'!$A:$B,2,FALSE),"Nome ou Peso não encontrado")))</f>
        <v>0.3</v>
      </c>
      <c r="AV8" s="42">
        <f>IFERROR(IF(C8="","Cidade não foi inserida",IF(AT8=0,0,VLOOKUP(C8,'BD - Valor Lavanderia Por Item'!A:R,7,FALSE))),"Cidade não encontrada")</f>
        <v>6.9774999999999991</v>
      </c>
      <c r="AW8" s="42">
        <f>IFERROR(IF(AND('TaxaLimpeza (Proposta)'!$A8&lt;&gt;"", COUNTIF('Configuração-Imóvel'!$A:$A, $A8)&gt;0), AV8*AU8*AT8,"ID não encontrado"),Tabela1[[#This Row],[Valor por lavanderia '[R$/Kg']40]])</f>
        <v>4.1864999999999997</v>
      </c>
      <c r="AX8" s="44">
        <f>IFERROR(IF(A8="",0,VLOOKUP(A8,'Estoque-Imóvel'!A:AC,17,FALSE)),"Code não encontrado")</f>
        <v>7</v>
      </c>
      <c r="AY8" s="40">
        <f>IF(AX8=0,0,IF(AX8="ID não encontrado",0,IFERROR(VLOOKUP($AX$2,'BD - Itens x Peso'!$A:$B,2,FALSE),"Nome ou Peso não encontrado")))</f>
        <v>0.19</v>
      </c>
      <c r="AZ8" s="42">
        <f>IFERROR(IF(C8="","Cidade não foi inserida",IF(AX8=0,0,VLOOKUP(C8,'BD - Valor Lavanderia Por Item'!A:R,5,FALSE))),"Cidade não encontrada")</f>
        <v>3.0649999999999999</v>
      </c>
      <c r="BA8" s="42">
        <f>IFERROR(IF(AND('TaxaLimpeza (Proposta)'!$A8&lt;&gt;"", COUNTIF('Configuração-Imóvel'!$A:$A, $A8)&gt;0), AZ8*AY8*AX8,"ID não encontrado"),Tabela1[[#This Row],[Valor por lavanderia '[R$/Kg']44]])</f>
        <v>4.0764500000000004</v>
      </c>
      <c r="BB8" s="44">
        <f>IFERROR(IF(A8="",0,VLOOKUP(A8,'Estoque-Imóvel'!A:AC,18,FALSE)),"ID não encontrado")</f>
        <v>0</v>
      </c>
      <c r="BC8" s="40">
        <f>IF(BB8=0,0,IF(BB8="ID não encontrado",0,IFERROR(VLOOKUP($BB$2,'BD - Itens x Peso'!$A:$B,2,FALSE),"Nome ou Peso não encontrado")))</f>
        <v>0</v>
      </c>
      <c r="BD8" s="42">
        <f>IFERROR(IF(C8="","Cidade não foi inserida",IF(BB8=0,0,VLOOKUP(C8,'BD - Valor Lavanderia Por Item'!A:R,11,FALSE))),"Cidade não encontrada")</f>
        <v>0</v>
      </c>
      <c r="BE8" s="42">
        <f>IFERROR(IF(AND('TaxaLimpeza (Proposta)'!$A8&lt;&gt;"", COUNTIF('Configuração-Imóvel'!$A:$A, $A8)&gt;0), BD8*BC8*BB8,"ID não encontrado"),Tabela1[[#This Row],[Valor por lavanderia '[R$/Kg']48]])</f>
        <v>0</v>
      </c>
      <c r="BF8" s="44">
        <f>IFERROR(IF(A8="",0,VLOOKUP(A8,'Estoque-Imóvel'!A:AC,19,FALSE)),"ID não encontrado")</f>
        <v>0</v>
      </c>
      <c r="BG8" s="40">
        <f>IF(BF8=0,0,IF(BF8="ID não encontrado",0,IFERROR(VLOOKUP($BF$2,'BD - Itens x Peso'!$A:$B,2,FALSE),"Nome ou Peso não encontrado")))</f>
        <v>0</v>
      </c>
      <c r="BH8" s="42">
        <f>IFERROR(IF(C8="","Cidade não foi inserida",IF(BF8=0,0,VLOOKUP(C8,'BD - Valor Lavanderia Por Item'!A:R,13,FALSE))),"Cidade não encontrada")</f>
        <v>0</v>
      </c>
      <c r="BI8" s="42">
        <f>IFERROR(IF(AND('TaxaLimpeza (Proposta)'!$A8&lt;&gt;"", COUNTIF('Configuração-Imóvel'!$A:$A, $A8)&gt;0), BH8*BG8*BF8,"ID não encontrado"),Tabela1[[#This Row],[Valor por lavanderia '[R$/Kg']52]])</f>
        <v>0</v>
      </c>
      <c r="BJ8" s="44">
        <f>IFERROR(IF(A8="",0,VLOOKUP(A8,'Estoque-Imóvel'!A:AC,20,FALSE)),"ID não encontrado")</f>
        <v>0</v>
      </c>
      <c r="BK8" s="40">
        <f>IF(BJ8=0,0,IF(BJ8="ID não encontrado",0,IFERROR(VLOOKUP($BJ$2,'BD - Itens x Peso'!$A:$B,2,FALSE),"Nome ou Peso não encontrado")))</f>
        <v>0</v>
      </c>
      <c r="BL8" s="42">
        <f>IFERROR(IF(C8="","Cidade não foi inserida",IF(BJ8=0,0,VLOOKUP(C8,'BD - Valor Lavanderia Por Item'!A:R,13,FALSE))),"Cidade não encontrada")</f>
        <v>0</v>
      </c>
      <c r="BM8" s="42">
        <f>IFERROR(IF(AND('TaxaLimpeza (Proposta)'!$A8&lt;&gt;"", COUNTIF('Configuração-Imóvel'!$A:$A, $A8)&gt;0), BL8*BK8*BJ8,"ID não encontrado"),Tabela1[[#This Row],[Valor por lavanderia '[R$/Kg']56]])</f>
        <v>0</v>
      </c>
      <c r="BN8" s="44">
        <f>IFERROR(IF(A8="",0,VLOOKUP(A8,'Estoque-Imóvel'!A:AC,21,FALSE)),"ID não encontrado")</f>
        <v>1</v>
      </c>
      <c r="BO8" s="40">
        <f>IF(BN8=0,0,IF(BN8="ID não encontrado",0,IFERROR(VLOOKUP($BN$2,'BD - Itens x Peso'!$A:$B,2,FALSE),"Nome ou Peso não encontrado")))</f>
        <v>1.1100000000000001</v>
      </c>
      <c r="BP8" s="42">
        <f>IFERROR(IF(C8="","Cidade não foi inserida",IF(BN8=0,0,VLOOKUP(C8,'BD - Valor Lavanderia Por Item'!A:R,13,FALSE))),"Cidade não encontrada")</f>
        <v>41.7575</v>
      </c>
      <c r="BQ8" s="42">
        <f>IFERROR(IF(AND('TaxaLimpeza (Proposta)'!$A8&lt;&gt;"", COUNTIF('Configuração-Imóvel'!$A:$A, $A8)&gt;0), BP8*BO8*BN8,"ID não encontrado"),Tabela1[[#This Row],[Valor por lavanderia '[R$/Kg']60]])</f>
        <v>46.350825000000007</v>
      </c>
      <c r="BR8" s="44">
        <f>IFERROR(IF(A8="",0,VLOOKUP(A8,'Estoque-Imóvel'!A:AC,22,FALSE)),"ID não encontrado")</f>
        <v>0</v>
      </c>
      <c r="BS8" s="40">
        <f>IF(BR8=0,0,IF(BR8="ID não encontrado",0,IFERROR(VLOOKUP($BR$2,'BD - Itens x Peso'!$A:$B,2,FALSE),"Nome ou Peso não encontrado. Utilizado o Edredom Solteiro como referência")))</f>
        <v>0</v>
      </c>
      <c r="BT8" s="42">
        <f>IFERROR(IF(C8="","Cidade não foi inserida",IF(BR8=0,0,VLOOKUP(C8,'BD - Valor Lavanderia Por Item'!A:R,11,FALSE))),"Cidade não encontrada")</f>
        <v>0</v>
      </c>
      <c r="BU8" s="42">
        <f>IFERROR(IF(AND('TaxaLimpeza (Proposta)'!$A8&lt;&gt;"", COUNTIF('Configuração-Imóvel'!$A:$A, $A8)&gt;0), BT8*BS8*BR8,"ID não encontrado"),BT8*VLOOKUP($BB$2,'BD - Itens x Peso'!$A:$B,2,FALSE)*BR8)</f>
        <v>0</v>
      </c>
      <c r="BV8" s="44">
        <f>IFERROR(IF(A8="",0,VLOOKUP(A8,'Estoque-Imóvel'!A:AC,23,FALSE)),"ID não encontrado")</f>
        <v>0</v>
      </c>
      <c r="BW8" s="40">
        <f>IF(BV8=0,0,IF(BV8="ID não encontrado",0,IFERROR(VLOOKUP($BV$2,'BD - Itens x Peso'!$A:$B,2,FALSE),"Nome ou Peso não encontrado. Utilizado o Edredom Queen Size como referência")))</f>
        <v>0</v>
      </c>
      <c r="BX8" s="42">
        <f>IFERROR(IF(C8="","Cidade não foi inserida",IF(BV8=0,0,VLOOKUP(C8,'BD - Valor Lavanderia Por Item'!A:R,13,FALSE))),"Cidade não encontrada")</f>
        <v>0</v>
      </c>
      <c r="BY8" s="42">
        <f>IFERROR(IF(AND('TaxaLimpeza (Proposta)'!$A8&lt;&gt;"",COUNTIF('Configuração-Imóvel'!$A:$A,$A8)&gt;0),BX8*BW8*BV8,"ID não encontrado"),BX8*(VLOOKUP($BF$2,'BD - Itens x Peso'!$A:$B,2,FALSE)*BV8))</f>
        <v>0</v>
      </c>
      <c r="BZ8" s="44">
        <f>IFERROR(IF(A8="",0,VLOOKUP(A8,'Estoque-Imóvel'!A:AC,24,FALSE)),"ID não encontrado")</f>
        <v>0</v>
      </c>
      <c r="CA8" s="40">
        <f>IF(BZ8=0,0,IF(BZ8="ID não encontrado",0,IFERROR(VLOOKUP($BZ$2,'BD - Itens x Peso'!$A:$B,2,FALSE),"Nome ou Peso não encontrado. Utilizado o peso do Edredom Casal como referência")))</f>
        <v>0</v>
      </c>
      <c r="CB8" s="42">
        <f>IFERROR(IF(C8="","Cidade não foi inserida",IF(BZ8=0,0,VLOOKUP(C8,'BD - Valor Lavanderia Por Item'!A:R,12,FALSE))),"Cidade não encontrada")</f>
        <v>0</v>
      </c>
      <c r="CC8" s="42">
        <f>IFERROR(IF(AND('TaxaLimpeza (Proposta)'!$A8&lt;&gt;"", COUNTIF('Configuração-Imóvel'!$A:$A, $A8)&gt;0), CB8*CA8*BZ8,"ID não encontrado"),VLOOKUP($BN$2,'BD - Itens x Peso'!$A:$B,2,FALSE)*CB8*BZ8)</f>
        <v>0</v>
      </c>
      <c r="CD8" s="44">
        <f>IFERROR(IF(A8="",0,VLOOKUP(A8,'Estoque-Imóvel'!A:AC,25,FALSE)),"ID não encontrado")</f>
        <v>0</v>
      </c>
      <c r="CE8" s="40">
        <f>IF(CD8=0,0,IF(CD8="ID não encontrado",0,IFERROR(VLOOKUP($CD$2,'BD - Itens x Peso'!$A:$B,2,FALSE),"Nome ou Peso não encontrado. Utilizado o Edredom Queen Size como referência")))</f>
        <v>0</v>
      </c>
      <c r="CF8" s="42">
        <f>IFERROR(IF(C8="","Cidade não foi inserida",IF(CD8=0,0,VLOOKUP(C8,'BD - Valor Lavanderia Por Item'!A:R,13,FALSE))),"Cidade não encontrada")</f>
        <v>0</v>
      </c>
      <c r="CG8" s="42">
        <f>IFERROR(IF(AND('TaxaLimpeza (Proposta)'!$A8&lt;&gt;"", COUNTIF('Configuração-Imóvel'!$A:$A, $A8)&gt;0), CF8*CE8*CD8,"ID não encontrado"),VLOOKUP($BF$2,'BD - Itens x Peso'!$A:$B,2,FALSE)*CF8*CD8)</f>
        <v>0</v>
      </c>
      <c r="CH8" s="44">
        <f>IFERROR(IF(A8="",0,VLOOKUP(A8,'Estoque-Imóvel'!A:AC,26,FALSE)),"ID não encontrado")</f>
        <v>0</v>
      </c>
      <c r="CI8" s="40">
        <f>IF(CH8=0,0,IF(CH8="ID não encontrado",0,IFERROR(VLOOKUP($CH$2,'BD - Itens x Peso'!$A:$B,2,FALSE),"Nome ou Peso não encontrado")))</f>
        <v>0</v>
      </c>
      <c r="CJ8" s="42">
        <f>IFERROR(IF(C8="","Cidade não foi inserida",IF(CH8=0,0,VLOOKUP(C8,'BD - Valor Lavanderia Por Item'!A:R,15,FALSE))),"Cidade não encontrada")</f>
        <v>0</v>
      </c>
      <c r="CK8" s="42">
        <f>IFERROR(IF(AND('TaxaLimpeza (Proposta)'!$A8&lt;&gt;"", COUNTIF('Configuração-Imóvel'!$A:$A, $A8)&gt;0), CJ8*CI8*CH8,"ID não encontrado"),Tabela1[[#This Row],[Valor por lavanderia '[R$/Kg']80]])</f>
        <v>0</v>
      </c>
      <c r="CL8" s="44">
        <f>IFERROR(IF(A8="",0,VLOOKUP(A8,'Estoque-Imóvel'!A:AC,27,FALSE)),"ID não encontrado")</f>
        <v>0</v>
      </c>
      <c r="CM8" s="40">
        <f>IF(CL8=0,0,IF(CL8="ID não encontrado",0,IFERROR(VLOOKUP($CL$2,'BD - Itens x Peso'!$A:$B,2,FALSE),"Nome ou Peso não encontrado")))</f>
        <v>0</v>
      </c>
      <c r="CN8" s="42">
        <f>IFERROR(IF(C8="","Cidade não foi inserida",IF(CL8=0,0,VLOOKUP(C8,'BD - Valor Lavanderia Por Item'!A:R,17,FALSE))),"Cidade não encontrada")</f>
        <v>0</v>
      </c>
      <c r="CO8" s="42">
        <f>IFERROR(IF(AND('TaxaLimpeza (Proposta)'!$A8&lt;&gt;"", COUNTIF('Configuração-Imóvel'!$A:$A, $A8)&gt;0), CN8*CM8*CL8,"ID não encontrado"),Tabela1[[#This Row],[Valor por lavanderia '[R$/Kg']84]])</f>
        <v>0</v>
      </c>
      <c r="CP8" s="44">
        <f>IFERROR(IF(A8="",0,VLOOKUP(A8,'Estoque-Imóvel'!A:AC,28,FALSE)),"ID não encontrado")</f>
        <v>0</v>
      </c>
      <c r="CQ8" s="40">
        <f>IF(CP8=0,0,IF(CP8="ID não encontrado",0,IFERROR(VLOOKUP($CP$2,'BD - Itens x Peso'!$A:$B,2,FALSE),"Nome ou Peso não encontrado")))</f>
        <v>0</v>
      </c>
      <c r="CR8" s="42">
        <f>IFERROR(IF(C8="","Cidade não foi inserida",IF(CP8=0,0,VLOOKUP(C8,'BD - Valor Lavanderia Por Item'!A:R,18,FALSE))),"Cidade não encontrada")</f>
        <v>0</v>
      </c>
      <c r="CS8" s="42">
        <f>IFERROR(IF(AND('TaxaLimpeza (Proposta)'!$A8&lt;&gt;"", COUNTIF('Configuração-Imóvel'!$A:$A, $A8)&gt;0), CR8*CQ8*CP8,"ID não encontrado"),Tabela1[[#This Row],[Valor por lavanderia '[R$/Kg']3]])</f>
        <v>0</v>
      </c>
      <c r="CT8" s="44">
        <f>IFERROR(IF(A8="",0,VLOOKUP(A8,'Estoque-Imóvel'!A:AC,29,FALSE)),"ID não encontrado")</f>
        <v>1</v>
      </c>
      <c r="CU8" s="40">
        <f>IF(CT8=0,0,IF(CT8="ID não encontrado",0,IFERROR(VLOOKUP($CT$2,'BD - Itens x Peso'!$A:$B,2,FALSE),"Nome ou Peso não encontrado")))</f>
        <v>1.56</v>
      </c>
      <c r="CV8" s="42">
        <f>IFERROR(IF(C8="","Cidade não foi inserida",IF(CT8=0,0,VLOOKUP(C8,'BD - Valor Lavanderia Por Item'!A:R,16,FALSE))),"Cidade não encontrada")</f>
        <v>16.457000000000001</v>
      </c>
      <c r="CW8" s="45">
        <f>IFERROR(IF(AND('TaxaLimpeza (Proposta)'!$A8&lt;&gt;"", COUNTIF('Configuração-Imóvel'!$A:$A, $A8)&gt;0), CV8*CU8*CT8,"ID não encontrado"),Tabela1[[#This Row],[Valor por lavanderia '[R$/Kg']2]])</f>
        <v>25.672920000000001</v>
      </c>
      <c r="CX8" s="34">
        <f t="shared" si="1"/>
        <v>161.48209</v>
      </c>
      <c r="CY8" s="68">
        <f>IFERROR(IF(A8="","",(VLOOKUP(A8,'Configuração-Imóvel'!$A$2:$R$21,16,FALSE)+VLOOKUP(A8,'Configuração-Imóvel'!$A$2:$R$21,17,FALSE))*VLOOKUP($CY$3,'BD - Amenities'!$B$2:$E$7,4,FALSE)),"ID não encontrado")</f>
        <v>0.5</v>
      </c>
      <c r="CZ8" s="69">
        <f>IFERROR(IF(A8="","",(VLOOKUP(A8,'Configuração-Imóvel'!$A$2:$R$21,16,FALSE)+VLOOKUP(A8,'Configuração-Imóvel'!$A$2:$R$21,17,FALSE))*VLOOKUP($CZ$3,'BD - Amenities'!$B$2:$E$7,4,FALSE)),"ID não encontrado")</f>
        <v>4</v>
      </c>
      <c r="DA8" s="69">
        <f>IFERROR(IF(A8="","",VLOOKUP(A8,'Configuração-Imóvel'!$A$2:$R$21,16,FALSE)*VLOOKUP($DA$3,'BD - Amenities'!$B$2:$E$7,4,FALSE)),"ID não encontrado")</f>
        <v>1.5</v>
      </c>
      <c r="DB8" s="69">
        <f>IFERROR(IF(A8="","",VLOOKUP(A8,'Configuração-Imóvel'!$A$2:$R$21,16,FALSE)*VLOOKUP($DB$3,'BD - Amenities'!$B$2:$E$7,4,FALSE)),"ID não encontrado")</f>
        <v>1.5</v>
      </c>
      <c r="DC8" s="35">
        <f t="shared" si="2"/>
        <v>7.5</v>
      </c>
      <c r="DD8" s="37">
        <f>IFERROR(IF(A8="","",VLOOKUP($DD$3,'BD - Material de Limpeza'!$A:$D,4,FALSE)),"ID não encontrado")</f>
        <v>2</v>
      </c>
      <c r="DE8" s="38">
        <f>IFERROR(IF(A8="","",VLOOKUP($DE$3,'BD - Material de Limpeza'!$A:$D,4,FALSE)),"ID não encontrado")</f>
        <v>2</v>
      </c>
      <c r="DF8" s="38">
        <f>IFERROR(IF(A8="","",VLOOKUP($DF$3,'BD - Material de Limpeza'!$A:$D,4,FALSE)),"ID não encontrado")</f>
        <v>1</v>
      </c>
      <c r="DG8" s="38">
        <f>IFERROR(IF(A8="","",VLOOKUP($DG$3,'BD - Material de Limpeza'!$A:$D,4,FALSE)),"ID não encontrado")</f>
        <v>1</v>
      </c>
      <c r="DH8" s="38">
        <f>IFERROR(IF(A8="","",VLOOKUP($DH$3,'BD - Material de Limpeza'!$A:$D,4,FALSE)),"ID não encontrado")</f>
        <v>1</v>
      </c>
      <c r="DI8" s="38">
        <f>IFERROR(IF(A8="","",VLOOKUP($DI$3,'BD - Material de Limpeza'!$A:$D,4,FALSE)),"ID não encontrado")</f>
        <v>1</v>
      </c>
      <c r="DJ8" s="38">
        <f>IFERROR(IF(A8="","",VLOOKUP($DJ$3,'BD - Material de Limpeza'!$A:$D,4,FALSE)),"ID não encontrado")</f>
        <v>1</v>
      </c>
      <c r="DK8" s="36">
        <f t="shared" si="0"/>
        <v>9</v>
      </c>
      <c r="DL8" s="72" cm="1">
        <f t="array" ref="DL8">IFERROR(IF('TaxaLimpeza (Proposta)'!$A8="","",INDEX('BD - Valor Limpeza Diarista'!B:B,INDEX('Configuração-Imóvel'!O:O,MATCH(A8,'Configuração-Imóvel'!A:A,0))+1,0)),"ID não encontrado")</f>
        <v>220</v>
      </c>
      <c r="DM8" s="67">
        <f t="shared" si="3"/>
        <v>437.78029900000001</v>
      </c>
      <c r="DN8" s="23" t="s">
        <v>179</v>
      </c>
      <c r="DP8" s="74"/>
    </row>
    <row r="9" spans="1:120" ht="15.75" customHeight="1">
      <c r="A9" s="65" t="s">
        <v>7</v>
      </c>
      <c r="B9" s="32" t="s">
        <v>154</v>
      </c>
      <c r="C9" s="32" t="s">
        <v>95</v>
      </c>
      <c r="D9" s="32" t="s">
        <v>155</v>
      </c>
      <c r="E9" s="33" t="s">
        <v>201</v>
      </c>
      <c r="F9" s="39">
        <f>IFERROR(IF(A9="",0,VLOOKUP(A9,'Estoque-Imóvel'!A:AC,6,FALSE)),"ID não encontrado")</f>
        <v>2</v>
      </c>
      <c r="G9" s="40">
        <f>IF(F9=0,0,IF(F9="ID não encontrado",0,IFERROR(VLOOKUP($F$2,'BD - Itens x Peso'!$A:$B,2,FALSE),"Nome ou Peso não encontrado")))</f>
        <v>0.24</v>
      </c>
      <c r="H9" s="41">
        <f>IFERROR(IF(C9="","Cidade não foi inserida",IF(F9=0,0,VLOOKUP(C9,'BD - Valor Lavanderia Por Item'!A:R,2,FALSE))),"Cidade não encontrada")</f>
        <v>2.7519999999999998</v>
      </c>
      <c r="I9" s="42">
        <f>IFERROR(IF(AND('TaxaLimpeza (Proposta)'!$A9&lt;&gt;"", COUNTIF('Configuração-Imóvel'!$A:$A, $A9)&gt;0), H9*G9*F9,"ID não encontrado"),H9)</f>
        <v>1.3209599999999999</v>
      </c>
      <c r="J9" s="43">
        <f>IFERROR(IF(A9="",0,VLOOKUP(A9,'Estoque-Imóvel'!A:AC,7,FALSE)),"ID não encontrado")</f>
        <v>2</v>
      </c>
      <c r="K9" s="40">
        <f>IF(J9=0,0,IF(J9="ID não encontrado",0,IFERROR(VLOOKUP($J$2,'BD - Itens x Peso'!$A:$B,2,FALSE),"Nome ou Peso não encontrado")))</f>
        <v>0.16</v>
      </c>
      <c r="L9" s="41">
        <f>IFERROR(IF(C9="","Cidade não foi inserida",IF(J9=0,0,VLOOKUP(C9,'BD - Valor Lavanderia Por Item'!A:R,3,FALSE))),"Cidade não encontrada")</f>
        <v>3.5345</v>
      </c>
      <c r="M9" s="41">
        <f>IFERROR(IF(AND('TaxaLimpeza (Proposta)'!$A9&lt;&gt;"", COUNTIF('Configuração-Imóvel'!$A:$A, $A9)&gt;0), L9*K9*J9,"ID não encontrado"),Tabela1[[#This Row],[Valor por lavanderia '[R$/Kg']4]])</f>
        <v>1.13104</v>
      </c>
      <c r="N9" s="44">
        <f>IFERROR(IF(A9="",0,VLOOKUP(A9,'Estoque-Imóvel'!A:AC,8,FALSE)),"ID não encontrado")</f>
        <v>0</v>
      </c>
      <c r="O9" s="40">
        <f>IF(N9=0,0,IF(N9="ID não encontrado",0,IFERROR(VLOOKUP($N$2,'BD - Itens x Peso'!$A:$B,2,FALSE),"Nome ou Peso não encontrado")))</f>
        <v>0</v>
      </c>
      <c r="P9" s="42">
        <f>IFERROR(IF(C9="","Cidade não foi inserida",IF(N9=0,0,VLOOKUP(C9,'BD - Valor Lavanderia Por Item'!A:R,2,FALSE))),"Cidade não encontrada")</f>
        <v>0</v>
      </c>
      <c r="Q9" s="42">
        <f>IFERROR(IF(AND('TaxaLimpeza (Proposta)'!$A9&lt;&gt;"", COUNTIF('Configuração-Imóvel'!$A:$A, $A9)&gt;0), P9*O9*N9,"ID não encontrado"),Tabela1[[#This Row],[Valor por lavanderia '[R$/Kg']8]])</f>
        <v>0</v>
      </c>
      <c r="R9" s="44">
        <f>IFERROR(IF(A9="",0,VLOOKUP(A9,'Estoque-Imóvel'!A:AC,9,FALSE)),"ID não encontrado")</f>
        <v>5</v>
      </c>
      <c r="S9" s="40">
        <f>IF(R9=0,0,IF(R9="ID não encontrado",0,IFERROR(VLOOKUP($R$2,'BD - Itens x Peso'!$A:$B,2,FALSE),"Nome ou Peso não encontrado")))</f>
        <v>0.39</v>
      </c>
      <c r="T9" s="42">
        <f>IFERROR(IF(C9="","Cidade não foi inserida",IF(R9=0,0,VLOOKUP(C9,'BD - Valor Lavanderia Por Item'!A:R,4,FALSE))),"Cidade não encontrada")</f>
        <v>4.7865000000000002</v>
      </c>
      <c r="U9" s="42">
        <f>IFERROR(IF(AND('TaxaLimpeza (Proposta)'!$A9&lt;&gt;"", COUNTIF('Configuração-Imóvel'!$A:$A, $A9)&gt;0), T9*S9*R9,"ID não encontrado"),Tabela1[[#This Row],[Valor por lavanderia '[R$/Kg']12]])</f>
        <v>9.3336749999999995</v>
      </c>
      <c r="V9" s="44">
        <f>IFERROR(IF(A9="",0,VLOOKUP(A9,'Estoque-Imóvel'!A:AC,10,FALSE)),"ID não encontrado")</f>
        <v>0</v>
      </c>
      <c r="W9" s="40">
        <f>IF(V9=0,0,IF(V9="ID não encontrado",0,IFERROR(VLOOKUP($V$2,'BD - Itens x Peso'!$A:$B,2,FALSE),"Nome ou Peso não encontrado")))</f>
        <v>0</v>
      </c>
      <c r="X9" s="42">
        <f>IFERROR(IF(C9="","Cidade não foi inserida",IF(V9=0,0,VLOOKUP(C9,'BD - Valor Lavanderia Por Item'!A:R,3,FALSE))),"Cidade não encontrada")</f>
        <v>0</v>
      </c>
      <c r="Y9" s="42">
        <f>IFERROR(IF(AND('TaxaLimpeza (Proposta)'!$A9&lt;&gt;"", COUNTIF('Configuração-Imóvel'!$A:$A, $A9)&gt;0), X9*W9*V9,"ID não encontrado"),Tabela1[[#This Row],[Valor por lavanderia '[R$/Kg']16]])</f>
        <v>0</v>
      </c>
      <c r="Z9" s="44">
        <f>IFERROR(IF(A9="",0,VLOOKUP(A9,'Estoque-Imóvel'!A:AC,11,FALSE)),"ID não encontrado")</f>
        <v>0</v>
      </c>
      <c r="AA9" s="40">
        <f>IF(Z9=0,0,IF(Z9="ID não encontrado",0,IFERROR(VLOOKUP($Z$2,'BD - Itens x Peso'!$A:$B,2,FALSE),"Nome ou Peso não encontrado")))</f>
        <v>0</v>
      </c>
      <c r="AB9" s="42">
        <f>IFERROR(IF(C9="","Cidade não foi inserida",IF(Z9=0,0,VLOOKUP(C9,'BD - Valor Lavanderia Por Item'!A:R,3,FALSE))),"Cidade não encontrada")</f>
        <v>0</v>
      </c>
      <c r="AC9" s="42">
        <f>IFERROR(IF(AND('TaxaLimpeza (Proposta)'!$A9&lt;&gt;"", COUNTIF('Configuração-Imóvel'!$A:$A, $A9)&gt;0), AB9*AA9*Z9,"ID não encontrado"),Tabela1[[#This Row],[Valor por lavanderia '[R$/Kg']20]])</f>
        <v>0</v>
      </c>
      <c r="AD9" s="44">
        <f>IFERROR(IF(A9="",0,VLOOKUP(A9,'Estoque-Imóvel'!A:AC,12,FALSE)),"ID não encontrado")</f>
        <v>3</v>
      </c>
      <c r="AE9" s="40">
        <f>IF(AD9=0,0,IF(AD9="ID não encontrado",0,IFERROR(VLOOKUP($AD$2,'BD - Itens x Peso'!$A:$B,2,FALSE),"Nome ou Peso não encontrado")))</f>
        <v>1.01</v>
      </c>
      <c r="AF9" s="42">
        <f>IFERROR(IF(C9="","Cidade não foi inserida",IF(AD9=0,0,VLOOKUP(C9,'BD - Valor Lavanderia Por Item'!A:R,9,FALSE))),"Cidade não encontrada")</f>
        <v>9.3249999999999993</v>
      </c>
      <c r="AG9" s="42">
        <f>IFERROR(IF(AND('TaxaLimpeza (Proposta)'!$A9&lt;&gt;"", COUNTIF('Configuração-Imóvel'!$A:$A, $A9)&gt;0), AF9*AE9*AD9,"ID não encontrado"),Tabela1[[#This Row],[Valor por lavanderia '[R$/Kg']24]])</f>
        <v>28.254749999999994</v>
      </c>
      <c r="AH9" s="44">
        <f>IFERROR(IF(A9="",0,VLOOKUP(A9,'Estoque-Imóvel'!A:AC,13,FALSE)),"ID não encontrado")</f>
        <v>6</v>
      </c>
      <c r="AI9" s="40">
        <f>IF(AH9=0,0,IF(AH9="ID não encontrado",0,IFERROR(VLOOKUP($AH$2,'BD - Itens x Peso'!$A:$B,2,FALSE),"Nome ou Peso não encontrado")))</f>
        <v>0.3</v>
      </c>
      <c r="AJ9" s="42">
        <f>IFERROR(IF(C9="","Cidade não foi inserida",IF(AH9=0,0,VLOOKUP(C9,'BD - Valor Lavanderia Por Item'!A:R,6,FALSE))),"Cidade não encontrada")</f>
        <v>6.1950000000000003</v>
      </c>
      <c r="AK9" s="42">
        <f>IFERROR(IF(AND('TaxaLimpeza (Proposta)'!$A9&lt;&gt;"", COUNTIF('Configuração-Imóvel'!$A:$A, $A9)&gt;0), AJ9*AI9*AH9,"ID não encontrado"),Tabela1[[#This Row],[Valor por lavanderia '[R$/Kg']28]])</f>
        <v>11.151</v>
      </c>
      <c r="AL9" s="44">
        <f>IFERROR(IF(A9="",0,VLOOKUP(A9,'Estoque-Imóvel'!A:AC,14,FALSE)),"ID não encontrado")</f>
        <v>0</v>
      </c>
      <c r="AM9" s="40">
        <f>IF(AL9=0,0,IF(AL9="ID não encontrado",0,IFERROR(VLOOKUP($AL$2,'BD - Itens x Peso'!$A:$B,2,FALSE),"Nome ou Peso não encontrado")))</f>
        <v>0</v>
      </c>
      <c r="AN9" s="42">
        <f>IFERROR(IF(C9="","Cidade não foi inserida",IF(AL9=0,0,VLOOKUP(C9,'BD - Valor Lavanderia Por Item'!A:R,8,FALSE))),"Cidade não encontrada")</f>
        <v>0</v>
      </c>
      <c r="AO9" s="42">
        <f>IFERROR(IF(AND('TaxaLimpeza (Proposta)'!$A9&lt;&gt;"", COUNTIF('Configuração-Imóvel'!$A:$A, $A9)&gt;0), AN9*AM9*AL9,"ID não encontrado"),Tabela1[[#This Row],[Valor por lavanderia '[R$/Kg']32]])</f>
        <v>0</v>
      </c>
      <c r="AP9" s="44">
        <f>IFERROR(IF(A9="",0,VLOOKUP(A9,'Estoque-Imóvel'!A:AC,15,FALSE)),"ID não encontrado")</f>
        <v>0</v>
      </c>
      <c r="AQ9" s="40">
        <f>IF(AP9=0,0,IF(AP9="ID não encontrado",0,IFERROR(VLOOKUP($AP$2,'BD - Itens x Peso'!$A:$B,2,FALSE),"Nome ou Peso não encontrado")))</f>
        <v>0</v>
      </c>
      <c r="AR9" s="42">
        <f>IFERROR(IF(C9="","Cidade não foi inserida",IF(AP9=0,0,VLOOKUP(C9,'BD - Valor Lavanderia Por Item'!A:R,8,FALSE))),"Cidade não encontrada")</f>
        <v>0</v>
      </c>
      <c r="AS9" s="42">
        <f>IFERROR(IF(AND('TaxaLimpeza (Proposta)'!$A9&lt;&gt;"", COUNTIF('Configuração-Imóvel'!$A:$A, $A9)&gt;0), AR9*AQ9*AP9,"ID não encontrado"),Tabela1[[#This Row],[Valor por lavanderia '[R$/Kg']36]])</f>
        <v>0</v>
      </c>
      <c r="AT9" s="44">
        <f>IFERROR(IF(A9="",0,VLOOKUP(A9,'Estoque-Imóvel'!A:AC,16,FALSE)),"ID não encontrado")</f>
        <v>2</v>
      </c>
      <c r="AU9" s="40">
        <f>IF(AT9=0,0,IF(AT9="ID não encontrado",0,IFERROR(VLOOKUP($AT$2,'BD - Itens x Peso'!$A:$B,2,FALSE),"Nome ou Peso não encontrado")))</f>
        <v>0.3</v>
      </c>
      <c r="AV9" s="42">
        <f>IFERROR(IF(C9="","Cidade não foi inserida",IF(AT9=0,0,VLOOKUP(C9,'BD - Valor Lavanderia Por Item'!A:R,7,FALSE))),"Cidade não encontrada")</f>
        <v>6.9774999999999991</v>
      </c>
      <c r="AW9" s="42">
        <f>IFERROR(IF(AND('TaxaLimpeza (Proposta)'!$A9&lt;&gt;"", COUNTIF('Configuração-Imóvel'!$A:$A, $A9)&gt;0), AV9*AU9*AT9,"ID não encontrado"),Tabela1[[#This Row],[Valor por lavanderia '[R$/Kg']40]])</f>
        <v>4.1864999999999997</v>
      </c>
      <c r="AX9" s="44">
        <f>IFERROR(IF(A9="",0,VLOOKUP(A9,'Estoque-Imóvel'!A:AC,17,FALSE)),"Code não encontrado")</f>
        <v>5</v>
      </c>
      <c r="AY9" s="40">
        <f>IF(AX9=0,0,IF(AX9="ID não encontrado",0,IFERROR(VLOOKUP($AX$2,'BD - Itens x Peso'!$A:$B,2,FALSE),"Nome ou Peso não encontrado")))</f>
        <v>0.19</v>
      </c>
      <c r="AZ9" s="42">
        <f>IFERROR(IF(C9="","Cidade não foi inserida",IF(AX9=0,0,VLOOKUP(C9,'BD - Valor Lavanderia Por Item'!A:R,5,FALSE))),"Cidade não encontrada")</f>
        <v>3.0649999999999999</v>
      </c>
      <c r="BA9" s="42">
        <f>IFERROR(IF(AND('TaxaLimpeza (Proposta)'!$A9&lt;&gt;"", COUNTIF('Configuração-Imóvel'!$A:$A, $A9)&gt;0), AZ9*AY9*AX9,"ID não encontrado"),Tabela1[[#This Row],[Valor por lavanderia '[R$/Kg']44]])</f>
        <v>2.9117500000000001</v>
      </c>
      <c r="BB9" s="44">
        <f>IFERROR(IF(A9="",0,VLOOKUP(A9,'Estoque-Imóvel'!A:AC,18,FALSE)),"ID não encontrado")</f>
        <v>0</v>
      </c>
      <c r="BC9" s="40">
        <f>IF(BB9=0,0,IF(BB9="ID não encontrado",0,IFERROR(VLOOKUP($BB$2,'BD - Itens x Peso'!$A:$B,2,FALSE),"Nome ou Peso não encontrado")))</f>
        <v>0</v>
      </c>
      <c r="BD9" s="42">
        <f>IFERROR(IF(C9="","Cidade não foi inserida",IF(BB9=0,0,VLOOKUP(C9,'BD - Valor Lavanderia Por Item'!A:R,11,FALSE))),"Cidade não encontrada")</f>
        <v>0</v>
      </c>
      <c r="BE9" s="42">
        <f>IFERROR(IF(AND('TaxaLimpeza (Proposta)'!$A9&lt;&gt;"", COUNTIF('Configuração-Imóvel'!$A:$A, $A9)&gt;0), BD9*BC9*BB9,"ID não encontrado"),Tabela1[[#This Row],[Valor por lavanderia '[R$/Kg']48]])</f>
        <v>0</v>
      </c>
      <c r="BF9" s="44">
        <f>IFERROR(IF(A9="",0,VLOOKUP(A9,'Estoque-Imóvel'!A:AC,19,FALSE)),"ID não encontrado")</f>
        <v>0</v>
      </c>
      <c r="BG9" s="40">
        <f>IF(BF9=0,0,IF(BF9="ID não encontrado",0,IFERROR(VLOOKUP($BF$2,'BD - Itens x Peso'!$A:$B,2,FALSE),"Nome ou Peso não encontrado")))</f>
        <v>0</v>
      </c>
      <c r="BH9" s="42">
        <f>IFERROR(IF(C9="","Cidade não foi inserida",IF(BF9=0,0,VLOOKUP(C9,'BD - Valor Lavanderia Por Item'!A:R,13,FALSE))),"Cidade não encontrada")</f>
        <v>0</v>
      </c>
      <c r="BI9" s="42">
        <f>IFERROR(IF(AND('TaxaLimpeza (Proposta)'!$A9&lt;&gt;"", COUNTIF('Configuração-Imóvel'!$A:$A, $A9)&gt;0), BH9*BG9*BF9,"ID não encontrado"),Tabela1[[#This Row],[Valor por lavanderia '[R$/Kg']52]])</f>
        <v>0</v>
      </c>
      <c r="BJ9" s="44">
        <f>IFERROR(IF(A9="",0,VLOOKUP(A9,'Estoque-Imóvel'!A:AC,20,FALSE)),"ID não encontrado")</f>
        <v>0</v>
      </c>
      <c r="BK9" s="40">
        <f>IF(BJ9=0,0,IF(BJ9="ID não encontrado",0,IFERROR(VLOOKUP($BJ$2,'BD - Itens x Peso'!$A:$B,2,FALSE),"Nome ou Peso não encontrado")))</f>
        <v>0</v>
      </c>
      <c r="BL9" s="42">
        <f>IFERROR(IF(C9="","Cidade não foi inserida",IF(BJ9=0,0,VLOOKUP(C9,'BD - Valor Lavanderia Por Item'!A:R,13,FALSE))),"Cidade não encontrada")</f>
        <v>0</v>
      </c>
      <c r="BM9" s="42">
        <f>IFERROR(IF(AND('TaxaLimpeza (Proposta)'!$A9&lt;&gt;"", COUNTIF('Configuração-Imóvel'!$A:$A, $A9)&gt;0), BL9*BK9*BJ9,"ID não encontrado"),Tabela1[[#This Row],[Valor por lavanderia '[R$/Kg']56]])</f>
        <v>0</v>
      </c>
      <c r="BN9" s="44">
        <f>IFERROR(IF(A9="",0,VLOOKUP(A9,'Estoque-Imóvel'!A:AC,21,FALSE)),"ID não encontrado")</f>
        <v>1</v>
      </c>
      <c r="BO9" s="40">
        <f>IF(BN9=0,0,IF(BN9="ID não encontrado",0,IFERROR(VLOOKUP($BN$2,'BD - Itens x Peso'!$A:$B,2,FALSE),"Nome ou Peso não encontrado")))</f>
        <v>1.1100000000000001</v>
      </c>
      <c r="BP9" s="42">
        <f>IFERROR(IF(C9="","Cidade não foi inserida",IF(BN9=0,0,VLOOKUP(C9,'BD - Valor Lavanderia Por Item'!A:R,13,FALSE))),"Cidade não encontrada")</f>
        <v>41.7575</v>
      </c>
      <c r="BQ9" s="42">
        <f>IFERROR(IF(AND('TaxaLimpeza (Proposta)'!$A9&lt;&gt;"", COUNTIF('Configuração-Imóvel'!$A:$A, $A9)&gt;0), BP9*BO9*BN9,"ID não encontrado"),Tabela1[[#This Row],[Valor por lavanderia '[R$/Kg']60]])</f>
        <v>46.350825000000007</v>
      </c>
      <c r="BR9" s="44">
        <f>IFERROR(IF(A9="",0,VLOOKUP(A9,'Estoque-Imóvel'!A:AC,22,FALSE)),"ID não encontrado")</f>
        <v>0</v>
      </c>
      <c r="BS9" s="40">
        <f>IF(BR9=0,0,IF(BR9="ID não encontrado",0,IFERROR(VLOOKUP($BR$2,'BD - Itens x Peso'!$A:$B,2,FALSE),"Nome ou Peso não encontrado. Utilizado o Edredom Solteiro como referência")))</f>
        <v>0</v>
      </c>
      <c r="BT9" s="42">
        <f>IFERROR(IF(C9="","Cidade não foi inserida",IF(BR9=0,0,VLOOKUP(C9,'BD - Valor Lavanderia Por Item'!A:R,11,FALSE))),"Cidade não encontrada")</f>
        <v>0</v>
      </c>
      <c r="BU9" s="42">
        <f>IFERROR(IF(AND('TaxaLimpeza (Proposta)'!$A9&lt;&gt;"", COUNTIF('Configuração-Imóvel'!$A:$A, $A9)&gt;0), BT9*BS9*BR9,"ID não encontrado"),BT9*VLOOKUP($BB$2,'BD - Itens x Peso'!$A:$B,2,FALSE)*BR9)</f>
        <v>0</v>
      </c>
      <c r="BV9" s="44">
        <f>IFERROR(IF(A9="",0,VLOOKUP(A9,'Estoque-Imóvel'!A:AC,23,FALSE)),"ID não encontrado")</f>
        <v>0</v>
      </c>
      <c r="BW9" s="40">
        <f>IF(BV9=0,0,IF(BV9="ID não encontrado",0,IFERROR(VLOOKUP($BV$2,'BD - Itens x Peso'!$A:$B,2,FALSE),"Nome ou Peso não encontrado. Utilizado o Edredom Queen Size como referência")))</f>
        <v>0</v>
      </c>
      <c r="BX9" s="42">
        <f>IFERROR(IF(C9="","Cidade não foi inserida",IF(BV9=0,0,VLOOKUP(C9,'BD - Valor Lavanderia Por Item'!A:R,13,FALSE))),"Cidade não encontrada")</f>
        <v>0</v>
      </c>
      <c r="BY9" s="42">
        <f>IFERROR(IF(AND('TaxaLimpeza (Proposta)'!$A9&lt;&gt;"",COUNTIF('Configuração-Imóvel'!$A:$A,$A9)&gt;0),BX9*BW9*BV9,"ID não encontrado"),BX9*(VLOOKUP($BF$2,'BD - Itens x Peso'!$A:$B,2,FALSE)*BV9))</f>
        <v>0</v>
      </c>
      <c r="BZ9" s="44">
        <f>IFERROR(IF(A9="",0,VLOOKUP(A9,'Estoque-Imóvel'!A:AC,24,FALSE)),"ID não encontrado")</f>
        <v>0</v>
      </c>
      <c r="CA9" s="40">
        <f>IF(BZ9=0,0,IF(BZ9="ID não encontrado",0,IFERROR(VLOOKUP($BZ$2,'BD - Itens x Peso'!$A:$B,2,FALSE),"Nome ou Peso não encontrado. Utilizado o peso do Edredom Casal como referência")))</f>
        <v>0</v>
      </c>
      <c r="CB9" s="42">
        <f>IFERROR(IF(C9="","Cidade não foi inserida",IF(BZ9=0,0,VLOOKUP(C9,'BD - Valor Lavanderia Por Item'!A:R,12,FALSE))),"Cidade não encontrada")</f>
        <v>0</v>
      </c>
      <c r="CC9" s="42">
        <f>IFERROR(IF(AND('TaxaLimpeza (Proposta)'!$A9&lt;&gt;"", COUNTIF('Configuração-Imóvel'!$A:$A, $A9)&gt;0), CB9*CA9*BZ9,"ID não encontrado"),VLOOKUP($BN$2,'BD - Itens x Peso'!$A:$B,2,FALSE)*CB9*BZ9)</f>
        <v>0</v>
      </c>
      <c r="CD9" s="44">
        <f>IFERROR(IF(A9="",0,VLOOKUP(A9,'Estoque-Imóvel'!A:AC,25,FALSE)),"ID não encontrado")</f>
        <v>0</v>
      </c>
      <c r="CE9" s="40">
        <f>IF(CD9=0,0,IF(CD9="ID não encontrado",0,IFERROR(VLOOKUP($CD$2,'BD - Itens x Peso'!$A:$B,2,FALSE),"Nome ou Peso não encontrado. Utilizado o Edredom Queen Size como referência")))</f>
        <v>0</v>
      </c>
      <c r="CF9" s="42">
        <f>IFERROR(IF(C9="","Cidade não foi inserida",IF(CD9=0,0,VLOOKUP(C9,'BD - Valor Lavanderia Por Item'!A:R,13,FALSE))),"Cidade não encontrada")</f>
        <v>0</v>
      </c>
      <c r="CG9" s="42">
        <f>IFERROR(IF(AND('TaxaLimpeza (Proposta)'!$A9&lt;&gt;"", COUNTIF('Configuração-Imóvel'!$A:$A, $A9)&gt;0), CF9*CE9*CD9,"ID não encontrado"),VLOOKUP($BF$2,'BD - Itens x Peso'!$A:$B,2,FALSE)*CF9*CD9)</f>
        <v>0</v>
      </c>
      <c r="CH9" s="44">
        <f>IFERROR(IF(A9="",0,VLOOKUP(A9,'Estoque-Imóvel'!A:AC,26,FALSE)),"ID não encontrado")</f>
        <v>0</v>
      </c>
      <c r="CI9" s="40">
        <f>IF(CH9=0,0,IF(CH9="ID não encontrado",0,IFERROR(VLOOKUP($CH$2,'BD - Itens x Peso'!$A:$B,2,FALSE),"Nome ou Peso não encontrado")))</f>
        <v>0</v>
      </c>
      <c r="CJ9" s="42">
        <f>IFERROR(IF(C9="","Cidade não foi inserida",IF(CH9=0,0,VLOOKUP(C9,'BD - Valor Lavanderia Por Item'!A:R,15,FALSE))),"Cidade não encontrada")</f>
        <v>0</v>
      </c>
      <c r="CK9" s="42">
        <f>IFERROR(IF(AND('TaxaLimpeza (Proposta)'!$A9&lt;&gt;"", COUNTIF('Configuração-Imóvel'!$A:$A, $A9)&gt;0), CJ9*CI9*CH9,"ID não encontrado"),Tabela1[[#This Row],[Valor por lavanderia '[R$/Kg']80]])</f>
        <v>0</v>
      </c>
      <c r="CL9" s="44">
        <f>IFERROR(IF(A9="",0,VLOOKUP(A9,'Estoque-Imóvel'!A:AC,27,FALSE)),"ID não encontrado")</f>
        <v>0</v>
      </c>
      <c r="CM9" s="40">
        <f>IF(CL9=0,0,IF(CL9="ID não encontrado",0,IFERROR(VLOOKUP($CL$2,'BD - Itens x Peso'!$A:$B,2,FALSE),"Nome ou Peso não encontrado")))</f>
        <v>0</v>
      </c>
      <c r="CN9" s="42">
        <f>IFERROR(IF(C9="","Cidade não foi inserida",IF(CL9=0,0,VLOOKUP(C9,'BD - Valor Lavanderia Por Item'!A:R,17,FALSE))),"Cidade não encontrada")</f>
        <v>0</v>
      </c>
      <c r="CO9" s="42">
        <f>IFERROR(IF(AND('TaxaLimpeza (Proposta)'!$A9&lt;&gt;"", COUNTIF('Configuração-Imóvel'!$A:$A, $A9)&gt;0), CN9*CM9*CL9,"ID não encontrado"),Tabela1[[#This Row],[Valor por lavanderia '[R$/Kg']84]])</f>
        <v>0</v>
      </c>
      <c r="CP9" s="44">
        <f>IFERROR(IF(A9="",0,VLOOKUP(A9,'Estoque-Imóvel'!A:AC,28,FALSE)),"ID não encontrado")</f>
        <v>0</v>
      </c>
      <c r="CQ9" s="40">
        <f>IF(CP9=0,0,IF(CP9="ID não encontrado",0,IFERROR(VLOOKUP($CP$2,'BD - Itens x Peso'!$A:$B,2,FALSE),"Nome ou Peso não encontrado")))</f>
        <v>0</v>
      </c>
      <c r="CR9" s="42">
        <f>IFERROR(IF(C9="","Cidade não foi inserida",IF(CP9=0,0,VLOOKUP(C9,'BD - Valor Lavanderia Por Item'!A:R,18,FALSE))),"Cidade não encontrada")</f>
        <v>0</v>
      </c>
      <c r="CS9" s="42">
        <f>IFERROR(IF(AND('TaxaLimpeza (Proposta)'!$A9&lt;&gt;"", COUNTIF('Configuração-Imóvel'!$A:$A, $A9)&gt;0), CR9*CQ9*CP9,"ID não encontrado"),Tabela1[[#This Row],[Valor por lavanderia '[R$/Kg']3]])</f>
        <v>0</v>
      </c>
      <c r="CT9" s="44">
        <f>IFERROR(IF(A9="",0,VLOOKUP(A9,'Estoque-Imóvel'!A:AC,29,FALSE)),"ID não encontrado")</f>
        <v>1</v>
      </c>
      <c r="CU9" s="40">
        <f>IF(CT9=0,0,IF(CT9="ID não encontrado",0,IFERROR(VLOOKUP($CT$2,'BD - Itens x Peso'!$A:$B,2,FALSE),"Nome ou Peso não encontrado")))</f>
        <v>1.56</v>
      </c>
      <c r="CV9" s="42">
        <f>IFERROR(IF(C9="","Cidade não foi inserida",IF(CT9=0,0,VLOOKUP(C9,'BD - Valor Lavanderia Por Item'!A:R,16,FALSE))),"Cidade não encontrada")</f>
        <v>16.457000000000001</v>
      </c>
      <c r="CW9" s="45">
        <f>IFERROR(IF(AND('TaxaLimpeza (Proposta)'!$A9&lt;&gt;"", COUNTIF('Configuração-Imóvel'!$A:$A, $A9)&gt;0), CV9*CU9*CT9,"ID não encontrado"),Tabela1[[#This Row],[Valor por lavanderia '[R$/Kg']2]])</f>
        <v>25.672920000000001</v>
      </c>
      <c r="CX9" s="34">
        <f t="shared" si="1"/>
        <v>130.31342000000001</v>
      </c>
      <c r="CY9" s="68">
        <f>IFERROR(IF(A9="","",(VLOOKUP(A9,'Configuração-Imóvel'!$A$2:$R$21,16,FALSE)+VLOOKUP(A9,'Configuração-Imóvel'!$A$2:$R$21,17,FALSE))*VLOOKUP($CY$3,'BD - Amenities'!$B$2:$E$7,4,FALSE)),"ID não encontrado")</f>
        <v>0.5</v>
      </c>
      <c r="CZ9" s="69">
        <f>IFERROR(IF(A9="","",(VLOOKUP(A9,'Configuração-Imóvel'!$A$2:$R$21,16,FALSE)+VLOOKUP(A9,'Configuração-Imóvel'!$A$2:$R$21,17,FALSE))*VLOOKUP($CZ$3,'BD - Amenities'!$B$2:$E$7,4,FALSE)),"ID não encontrado")</f>
        <v>4</v>
      </c>
      <c r="DA9" s="69">
        <f>IFERROR(IF(A9="","",VLOOKUP(A9,'Configuração-Imóvel'!$A$2:$R$21,16,FALSE)*VLOOKUP($DA$3,'BD - Amenities'!$B$2:$E$7,4,FALSE)),"ID não encontrado")</f>
        <v>1.5</v>
      </c>
      <c r="DB9" s="69">
        <f>IFERROR(IF(A9="","",VLOOKUP(A9,'Configuração-Imóvel'!$A$2:$R$21,16,FALSE)*VLOOKUP($DB$3,'BD - Amenities'!$B$2:$E$7,4,FALSE)),"ID não encontrado")</f>
        <v>1.5</v>
      </c>
      <c r="DC9" s="35">
        <f t="shared" si="2"/>
        <v>7.5</v>
      </c>
      <c r="DD9" s="37">
        <f>IFERROR(IF(A9="","",VLOOKUP($DD$3,'BD - Material de Limpeza'!$A:$D,4,FALSE)),"ID não encontrado")</f>
        <v>2</v>
      </c>
      <c r="DE9" s="38">
        <f>IFERROR(IF(A9="","",VLOOKUP($DE$3,'BD - Material de Limpeza'!$A:$D,4,FALSE)),"ID não encontrado")</f>
        <v>2</v>
      </c>
      <c r="DF9" s="38">
        <f>IFERROR(IF(A9="","",VLOOKUP($DF$3,'BD - Material de Limpeza'!$A:$D,4,FALSE)),"ID não encontrado")</f>
        <v>1</v>
      </c>
      <c r="DG9" s="38">
        <f>IFERROR(IF(A9="","",VLOOKUP($DG$3,'BD - Material de Limpeza'!$A:$D,4,FALSE)),"ID não encontrado")</f>
        <v>1</v>
      </c>
      <c r="DH9" s="38">
        <f>IFERROR(IF(A9="","",VLOOKUP($DH$3,'BD - Material de Limpeza'!$A:$D,4,FALSE)),"ID não encontrado")</f>
        <v>1</v>
      </c>
      <c r="DI9" s="38">
        <f>IFERROR(IF(A9="","",VLOOKUP($DI$3,'BD - Material de Limpeza'!$A:$D,4,FALSE)),"ID não encontrado")</f>
        <v>1</v>
      </c>
      <c r="DJ9" s="38">
        <f>IFERROR(IF(A9="","",VLOOKUP($DJ$3,'BD - Material de Limpeza'!$A:$D,4,FALSE)),"ID não encontrado")</f>
        <v>1</v>
      </c>
      <c r="DK9" s="36">
        <f t="shared" si="0"/>
        <v>9</v>
      </c>
      <c r="DL9" s="72" cm="1">
        <f t="array" ref="DL9">IFERROR(IF('TaxaLimpeza (Proposta)'!$A9="","",INDEX('BD - Valor Limpeza Diarista'!B:B,INDEX('Configuração-Imóvel'!O:O,MATCH(A9,'Configuração-Imóvel'!A:A,0))+1,0)),"ID não encontrado")</f>
        <v>220</v>
      </c>
      <c r="DM9" s="67">
        <f t="shared" si="3"/>
        <v>403.49476200000004</v>
      </c>
      <c r="DN9" s="23" t="s">
        <v>180</v>
      </c>
      <c r="DP9" s="74"/>
    </row>
    <row r="10" spans="1:120" ht="15.75" customHeight="1">
      <c r="A10" s="65" t="s">
        <v>10</v>
      </c>
      <c r="B10" s="32" t="s">
        <v>154</v>
      </c>
      <c r="C10" s="32" t="s">
        <v>95</v>
      </c>
      <c r="D10" s="32" t="s">
        <v>155</v>
      </c>
      <c r="E10" s="33" t="s">
        <v>201</v>
      </c>
      <c r="F10" s="39">
        <f>IFERROR(IF(A10="",0,VLOOKUP(A10,'Estoque-Imóvel'!A:AC,6,FALSE)),"ID não encontrado")</f>
        <v>2</v>
      </c>
      <c r="G10" s="40">
        <f>IF(F10=0,0,IF(F10="ID não encontrado",0,IFERROR(VLOOKUP($F$2,'BD - Itens x Peso'!$A:$B,2,FALSE),"Nome ou Peso não encontrado")))</f>
        <v>0.24</v>
      </c>
      <c r="H10" s="41">
        <f>IFERROR(IF(C10="","Cidade não foi inserida",IF(F10=0,0,VLOOKUP(C10,'BD - Valor Lavanderia Por Item'!A:R,2,FALSE))),"Cidade não encontrada")</f>
        <v>2.7519999999999998</v>
      </c>
      <c r="I10" s="42">
        <f>IFERROR(IF(AND('TaxaLimpeza (Proposta)'!$A10&lt;&gt;"", COUNTIF('Configuração-Imóvel'!$A:$A, $A10)&gt;0), H10*G10*F10,"ID não encontrado"),H10)</f>
        <v>1.3209599999999999</v>
      </c>
      <c r="J10" s="43">
        <f>IFERROR(IF(A10="",0,VLOOKUP(A10,'Estoque-Imóvel'!A:AC,7,FALSE)),"ID não encontrado")</f>
        <v>2</v>
      </c>
      <c r="K10" s="40">
        <f>IF(J10=0,0,IF(J10="ID não encontrado",0,IFERROR(VLOOKUP($J$2,'BD - Itens x Peso'!$A:$B,2,FALSE),"Nome ou Peso não encontrado")))</f>
        <v>0.16</v>
      </c>
      <c r="L10" s="41">
        <f>IFERROR(IF(C10="","Cidade não foi inserida",IF(J10=0,0,VLOOKUP(C10,'BD - Valor Lavanderia Por Item'!A:R,3,FALSE))),"Cidade não encontrada")</f>
        <v>3.5345</v>
      </c>
      <c r="M10" s="41">
        <f>IFERROR(IF(AND('TaxaLimpeza (Proposta)'!$A10&lt;&gt;"", COUNTIF('Configuração-Imóvel'!$A:$A, $A10)&gt;0), L10*K10*J10,"ID não encontrado"),Tabela1[[#This Row],[Valor por lavanderia '[R$/Kg']4]])</f>
        <v>1.13104</v>
      </c>
      <c r="N10" s="44">
        <f>IFERROR(IF(A10="",0,VLOOKUP(A10,'Estoque-Imóvel'!A:AC,8,FALSE)),"ID não encontrado")</f>
        <v>0</v>
      </c>
      <c r="O10" s="40">
        <f>IF(N10=0,0,IF(N10="ID não encontrado",0,IFERROR(VLOOKUP($N$2,'BD - Itens x Peso'!$A:$B,2,FALSE),"Nome ou Peso não encontrado")))</f>
        <v>0</v>
      </c>
      <c r="P10" s="42">
        <f>IFERROR(IF(C10="","Cidade não foi inserida",IF(N10=0,0,VLOOKUP(C10,'BD - Valor Lavanderia Por Item'!A:R,2,FALSE))),"Cidade não encontrada")</f>
        <v>0</v>
      </c>
      <c r="Q10" s="42">
        <f>IFERROR(IF(AND('TaxaLimpeza (Proposta)'!$A10&lt;&gt;"", COUNTIF('Configuração-Imóvel'!$A:$A, $A10)&gt;0), P10*O10*N10,"ID não encontrado"),Tabela1[[#This Row],[Valor por lavanderia '[R$/Kg']8]])</f>
        <v>0</v>
      </c>
      <c r="R10" s="44">
        <f>IFERROR(IF(A10="",0,VLOOKUP(A10,'Estoque-Imóvel'!A:AC,9,FALSE)),"ID não encontrado")</f>
        <v>6</v>
      </c>
      <c r="S10" s="40">
        <f>IF(R10=0,0,IF(R10="ID não encontrado",0,IFERROR(VLOOKUP($R$2,'BD - Itens x Peso'!$A:$B,2,FALSE),"Nome ou Peso não encontrado")))</f>
        <v>0.39</v>
      </c>
      <c r="T10" s="42">
        <f>IFERROR(IF(C10="","Cidade não foi inserida",IF(R10=0,0,VLOOKUP(C10,'BD - Valor Lavanderia Por Item'!A:R,4,FALSE))),"Cidade não encontrada")</f>
        <v>4.7865000000000002</v>
      </c>
      <c r="U10" s="42">
        <f>IFERROR(IF(AND('TaxaLimpeza (Proposta)'!$A10&lt;&gt;"", COUNTIF('Configuração-Imóvel'!$A:$A, $A10)&gt;0), T10*S10*R10,"ID não encontrado"),Tabela1[[#This Row],[Valor por lavanderia '[R$/Kg']12]])</f>
        <v>11.20041</v>
      </c>
      <c r="V10" s="44">
        <f>IFERROR(IF(A10="",0,VLOOKUP(A10,'Estoque-Imóvel'!A:AC,10,FALSE)),"ID não encontrado")</f>
        <v>0</v>
      </c>
      <c r="W10" s="40">
        <f>IF(V10=0,0,IF(V10="ID não encontrado",0,IFERROR(VLOOKUP($V$2,'BD - Itens x Peso'!$A:$B,2,FALSE),"Nome ou Peso não encontrado")))</f>
        <v>0</v>
      </c>
      <c r="X10" s="42">
        <f>IFERROR(IF(C10="","Cidade não foi inserida",IF(V10=0,0,VLOOKUP(C10,'BD - Valor Lavanderia Por Item'!A:R,3,FALSE))),"Cidade não encontrada")</f>
        <v>0</v>
      </c>
      <c r="Y10" s="42">
        <f>IFERROR(IF(AND('TaxaLimpeza (Proposta)'!$A10&lt;&gt;"", COUNTIF('Configuração-Imóvel'!$A:$A, $A10)&gt;0), X10*W10*V10,"ID não encontrado"),Tabela1[[#This Row],[Valor por lavanderia '[R$/Kg']16]])</f>
        <v>0</v>
      </c>
      <c r="Z10" s="44">
        <f>IFERROR(IF(A10="",0,VLOOKUP(A10,'Estoque-Imóvel'!A:AC,11,FALSE)),"ID não encontrado")</f>
        <v>0</v>
      </c>
      <c r="AA10" s="40">
        <f>IF(Z10=0,0,IF(Z10="ID não encontrado",0,IFERROR(VLOOKUP($Z$2,'BD - Itens x Peso'!$A:$B,2,FALSE),"Nome ou Peso não encontrado")))</f>
        <v>0</v>
      </c>
      <c r="AB10" s="42">
        <f>IFERROR(IF(C10="","Cidade não foi inserida",IF(Z10=0,0,VLOOKUP(C10,'BD - Valor Lavanderia Por Item'!A:R,3,FALSE))),"Cidade não encontrada")</f>
        <v>0</v>
      </c>
      <c r="AC10" s="42">
        <f>IFERROR(IF(AND('TaxaLimpeza (Proposta)'!$A10&lt;&gt;"", COUNTIF('Configuração-Imóvel'!$A:$A, $A10)&gt;0), AB10*AA10*Z10,"ID não encontrado"),Tabela1[[#This Row],[Valor por lavanderia '[R$/Kg']20]])</f>
        <v>0</v>
      </c>
      <c r="AD10" s="44">
        <f>IFERROR(IF(A10="",0,VLOOKUP(A10,'Estoque-Imóvel'!A:AC,12,FALSE)),"ID não encontrado")</f>
        <v>0</v>
      </c>
      <c r="AE10" s="40">
        <f>IF(AD10=0,0,IF(AD10="ID não encontrado",0,IFERROR(VLOOKUP($AD$2,'BD - Itens x Peso'!$A:$B,2,FALSE),"Nome ou Peso não encontrado")))</f>
        <v>0</v>
      </c>
      <c r="AF10" s="42">
        <f>IFERROR(IF(C10="","Cidade não foi inserida",IF(AD10=0,0,VLOOKUP(C10,'BD - Valor Lavanderia Por Item'!A:R,9,FALSE))),"Cidade não encontrada")</f>
        <v>0</v>
      </c>
      <c r="AG10" s="42">
        <f>IFERROR(IF(AND('TaxaLimpeza (Proposta)'!$A10&lt;&gt;"", COUNTIF('Configuração-Imóvel'!$A:$A, $A10)&gt;0), AF10*AE10*AD10,"ID não encontrado"),Tabela1[[#This Row],[Valor por lavanderia '[R$/Kg']24]])</f>
        <v>0</v>
      </c>
      <c r="AH10" s="44">
        <f>IFERROR(IF(A10="",0,VLOOKUP(A10,'Estoque-Imóvel'!A:AC,13,FALSE)),"ID não encontrado")</f>
        <v>0</v>
      </c>
      <c r="AI10" s="40">
        <f>IF(AH10=0,0,IF(AH10="ID não encontrado",0,IFERROR(VLOOKUP($AH$2,'BD - Itens x Peso'!$A:$B,2,FALSE),"Nome ou Peso não encontrado")))</f>
        <v>0</v>
      </c>
      <c r="AJ10" s="42">
        <f>IFERROR(IF(C10="","Cidade não foi inserida",IF(AH10=0,0,VLOOKUP(C10,'BD - Valor Lavanderia Por Item'!A:R,6,FALSE))),"Cidade não encontrada")</f>
        <v>0</v>
      </c>
      <c r="AK10" s="42">
        <f>IFERROR(IF(AND('TaxaLimpeza (Proposta)'!$A10&lt;&gt;"", COUNTIF('Configuração-Imóvel'!$A:$A, $A10)&gt;0), AJ10*AI10*AH10,"ID não encontrado"),Tabela1[[#This Row],[Valor por lavanderia '[R$/Kg']28]])</f>
        <v>0</v>
      </c>
      <c r="AL10" s="44">
        <f>IFERROR(IF(A10="",0,VLOOKUP(A10,'Estoque-Imóvel'!A:AC,14,FALSE)),"ID não encontrado")</f>
        <v>0</v>
      </c>
      <c r="AM10" s="40">
        <f>IF(AL10=0,0,IF(AL10="ID não encontrado",0,IFERROR(VLOOKUP($AL$2,'BD - Itens x Peso'!$A:$B,2,FALSE),"Nome ou Peso não encontrado")))</f>
        <v>0</v>
      </c>
      <c r="AN10" s="42">
        <f>IFERROR(IF(C10="","Cidade não foi inserida",IF(AL10=0,0,VLOOKUP(C10,'BD - Valor Lavanderia Por Item'!A:R,8,FALSE))),"Cidade não encontrada")</f>
        <v>0</v>
      </c>
      <c r="AO10" s="42">
        <f>IFERROR(IF(AND('TaxaLimpeza (Proposta)'!$A10&lt;&gt;"", COUNTIF('Configuração-Imóvel'!$A:$A, $A10)&gt;0), AN10*AM10*AL10,"ID não encontrado"),Tabela1[[#This Row],[Valor por lavanderia '[R$/Kg']32]])</f>
        <v>0</v>
      </c>
      <c r="AP10" s="44">
        <f>IFERROR(IF(A10="",0,VLOOKUP(A10,'Estoque-Imóvel'!A:AC,15,FALSE)),"ID não encontrado")</f>
        <v>0</v>
      </c>
      <c r="AQ10" s="40">
        <f>IF(AP10=0,0,IF(AP10="ID não encontrado",0,IFERROR(VLOOKUP($AP$2,'BD - Itens x Peso'!$A:$B,2,FALSE),"Nome ou Peso não encontrado")))</f>
        <v>0</v>
      </c>
      <c r="AR10" s="42">
        <f>IFERROR(IF(C10="","Cidade não foi inserida",IF(AP10=0,0,VLOOKUP(C10,'BD - Valor Lavanderia Por Item'!A:R,8,FALSE))),"Cidade não encontrada")</f>
        <v>0</v>
      </c>
      <c r="AS10" s="42">
        <f>IFERROR(IF(AND('TaxaLimpeza (Proposta)'!$A10&lt;&gt;"", COUNTIF('Configuração-Imóvel'!$A:$A, $A10)&gt;0), AR10*AQ10*AP10,"ID não encontrado"),Tabela1[[#This Row],[Valor por lavanderia '[R$/Kg']36]])</f>
        <v>0</v>
      </c>
      <c r="AT10" s="44">
        <f>IFERROR(IF(A10="",0,VLOOKUP(A10,'Estoque-Imóvel'!A:AC,16,FALSE)),"ID não encontrado")</f>
        <v>6</v>
      </c>
      <c r="AU10" s="40">
        <f>IF(AT10=0,0,IF(AT10="ID não encontrado",0,IFERROR(VLOOKUP($AT$2,'BD - Itens x Peso'!$A:$B,2,FALSE),"Nome ou Peso não encontrado")))</f>
        <v>0.3</v>
      </c>
      <c r="AV10" s="42">
        <f>IFERROR(IF(C10="","Cidade não foi inserida",IF(AT10=0,0,VLOOKUP(C10,'BD - Valor Lavanderia Por Item'!A:R,7,FALSE))),"Cidade não encontrada")</f>
        <v>6.9774999999999991</v>
      </c>
      <c r="AW10" s="42">
        <f>IFERROR(IF(AND('TaxaLimpeza (Proposta)'!$A10&lt;&gt;"", COUNTIF('Configuração-Imóvel'!$A:$A, $A10)&gt;0), AV10*AU10*AT10,"ID não encontrado"),Tabela1[[#This Row],[Valor por lavanderia '[R$/Kg']40]])</f>
        <v>12.5595</v>
      </c>
      <c r="AX10" s="44">
        <f>IFERROR(IF(A10="",0,VLOOKUP(A10,'Estoque-Imóvel'!A:AC,17,FALSE)),"Code não encontrado")</f>
        <v>6</v>
      </c>
      <c r="AY10" s="40">
        <f>IF(AX10=0,0,IF(AX10="ID não encontrado",0,IFERROR(VLOOKUP($AX$2,'BD - Itens x Peso'!$A:$B,2,FALSE),"Nome ou Peso não encontrado")))</f>
        <v>0.19</v>
      </c>
      <c r="AZ10" s="42">
        <f>IFERROR(IF(C10="","Cidade não foi inserida",IF(AX10=0,0,VLOOKUP(C10,'BD - Valor Lavanderia Por Item'!A:R,5,FALSE))),"Cidade não encontrada")</f>
        <v>3.0649999999999999</v>
      </c>
      <c r="BA10" s="42">
        <f>IFERROR(IF(AND('TaxaLimpeza (Proposta)'!$A10&lt;&gt;"", COUNTIF('Configuração-Imóvel'!$A:$A, $A10)&gt;0), AZ10*AY10*AX10,"ID não encontrado"),Tabela1[[#This Row],[Valor por lavanderia '[R$/Kg']44]])</f>
        <v>3.4941000000000004</v>
      </c>
      <c r="BB10" s="44">
        <f>IFERROR(IF(A10="",0,VLOOKUP(A10,'Estoque-Imóvel'!A:AC,18,FALSE)),"ID não encontrado")</f>
        <v>0</v>
      </c>
      <c r="BC10" s="40">
        <f>IF(BB10=0,0,IF(BB10="ID não encontrado",0,IFERROR(VLOOKUP($BB$2,'BD - Itens x Peso'!$A:$B,2,FALSE),"Nome ou Peso não encontrado")))</f>
        <v>0</v>
      </c>
      <c r="BD10" s="42">
        <f>IFERROR(IF(C10="","Cidade não foi inserida",IF(BB10=0,0,VLOOKUP(C10,'BD - Valor Lavanderia Por Item'!A:R,11,FALSE))),"Cidade não encontrada")</f>
        <v>0</v>
      </c>
      <c r="BE10" s="42">
        <f>IFERROR(IF(AND('TaxaLimpeza (Proposta)'!$A10&lt;&gt;"", COUNTIF('Configuração-Imóvel'!$A:$A, $A10)&gt;0), BD10*BC10*BB10,"ID não encontrado"),Tabela1[[#This Row],[Valor por lavanderia '[R$/Kg']48]])</f>
        <v>0</v>
      </c>
      <c r="BF10" s="44">
        <f>IFERROR(IF(A10="",0,VLOOKUP(A10,'Estoque-Imóvel'!A:AC,19,FALSE)),"ID não encontrado")</f>
        <v>0</v>
      </c>
      <c r="BG10" s="40">
        <f>IF(BF10=0,0,IF(BF10="ID não encontrado",0,IFERROR(VLOOKUP($BF$2,'BD - Itens x Peso'!$A:$B,2,FALSE),"Nome ou Peso não encontrado")))</f>
        <v>0</v>
      </c>
      <c r="BH10" s="42">
        <f>IFERROR(IF(C10="","Cidade não foi inserida",IF(BF10=0,0,VLOOKUP(C10,'BD - Valor Lavanderia Por Item'!A:R,13,FALSE))),"Cidade não encontrada")</f>
        <v>0</v>
      </c>
      <c r="BI10" s="42">
        <f>IFERROR(IF(AND('TaxaLimpeza (Proposta)'!$A10&lt;&gt;"", COUNTIF('Configuração-Imóvel'!$A:$A, $A10)&gt;0), BH10*BG10*BF10,"ID não encontrado"),Tabela1[[#This Row],[Valor por lavanderia '[R$/Kg']52]])</f>
        <v>0</v>
      </c>
      <c r="BJ10" s="44">
        <f>IFERROR(IF(A10="",0,VLOOKUP(A10,'Estoque-Imóvel'!A:AC,20,FALSE)),"ID não encontrado")</f>
        <v>0</v>
      </c>
      <c r="BK10" s="40">
        <f>IF(BJ10=0,0,IF(BJ10="ID não encontrado",0,IFERROR(VLOOKUP($BJ$2,'BD - Itens x Peso'!$A:$B,2,FALSE),"Nome ou Peso não encontrado")))</f>
        <v>0</v>
      </c>
      <c r="BL10" s="42">
        <f>IFERROR(IF(C10="","Cidade não foi inserida",IF(BJ10=0,0,VLOOKUP(C10,'BD - Valor Lavanderia Por Item'!A:R,13,FALSE))),"Cidade não encontrada")</f>
        <v>0</v>
      </c>
      <c r="BM10" s="42">
        <f>IFERROR(IF(AND('TaxaLimpeza (Proposta)'!$A10&lt;&gt;"", COUNTIF('Configuração-Imóvel'!$A:$A, $A10)&gt;0), BL10*BK10*BJ10,"ID não encontrado"),Tabela1[[#This Row],[Valor por lavanderia '[R$/Kg']56]])</f>
        <v>0</v>
      </c>
      <c r="BN10" s="44">
        <f>IFERROR(IF(A10="",0,VLOOKUP(A10,'Estoque-Imóvel'!A:AC,21,FALSE)),"ID não encontrado")</f>
        <v>3</v>
      </c>
      <c r="BO10" s="40">
        <f>IF(BN10=0,0,IF(BN10="ID não encontrado",0,IFERROR(VLOOKUP($BN$2,'BD - Itens x Peso'!$A:$B,2,FALSE),"Nome ou Peso não encontrado")))</f>
        <v>1.1100000000000001</v>
      </c>
      <c r="BP10" s="42">
        <f>IFERROR(IF(C10="","Cidade não foi inserida",IF(BN10=0,0,VLOOKUP(C10,'BD - Valor Lavanderia Por Item'!A:R,13,FALSE))),"Cidade não encontrada")</f>
        <v>41.7575</v>
      </c>
      <c r="BQ10" s="42">
        <f>IFERROR(IF(AND('TaxaLimpeza (Proposta)'!$A10&lt;&gt;"", COUNTIF('Configuração-Imóvel'!$A:$A, $A10)&gt;0), BP10*BO10*BN10,"ID não encontrado"),Tabela1[[#This Row],[Valor por lavanderia '[R$/Kg']60]])</f>
        <v>139.05247500000002</v>
      </c>
      <c r="BR10" s="44">
        <f>IFERROR(IF(A10="",0,VLOOKUP(A10,'Estoque-Imóvel'!A:AC,22,FALSE)),"ID não encontrado")</f>
        <v>0</v>
      </c>
      <c r="BS10" s="40">
        <f>IF(BR10=0,0,IF(BR10="ID não encontrado",0,IFERROR(VLOOKUP($BR$2,'BD - Itens x Peso'!$A:$B,2,FALSE),"Nome ou Peso não encontrado. Utilizado o Edredom Solteiro como referência")))</f>
        <v>0</v>
      </c>
      <c r="BT10" s="42">
        <f>IFERROR(IF(C10="","Cidade não foi inserida",IF(BR10=0,0,VLOOKUP(C10,'BD - Valor Lavanderia Por Item'!A:R,11,FALSE))),"Cidade não encontrada")</f>
        <v>0</v>
      </c>
      <c r="BU10" s="42">
        <f>IFERROR(IF(AND('TaxaLimpeza (Proposta)'!$A10&lt;&gt;"", COUNTIF('Configuração-Imóvel'!$A:$A, $A10)&gt;0), BT10*BS10*BR10,"ID não encontrado"),BT10*VLOOKUP($BB$2,'BD - Itens x Peso'!$A:$B,2,FALSE)*BR10)</f>
        <v>0</v>
      </c>
      <c r="BV10" s="44">
        <f>IFERROR(IF(A10="",0,VLOOKUP(A10,'Estoque-Imóvel'!A:AC,23,FALSE)),"ID não encontrado")</f>
        <v>0</v>
      </c>
      <c r="BW10" s="40">
        <f>IF(BV10=0,0,IF(BV10="ID não encontrado",0,IFERROR(VLOOKUP($BV$2,'BD - Itens x Peso'!$A:$B,2,FALSE),"Nome ou Peso não encontrado. Utilizado o Edredom Queen Size como referência")))</f>
        <v>0</v>
      </c>
      <c r="BX10" s="42">
        <f>IFERROR(IF(C10="","Cidade não foi inserida",IF(BV10=0,0,VLOOKUP(C10,'BD - Valor Lavanderia Por Item'!A:R,13,FALSE))),"Cidade não encontrada")</f>
        <v>0</v>
      </c>
      <c r="BY10" s="42">
        <f>IFERROR(IF(AND('TaxaLimpeza (Proposta)'!$A10&lt;&gt;"",COUNTIF('Configuração-Imóvel'!$A:$A,$A10)&gt;0),BX10*BW10*BV10,"ID não encontrado"),BX10*(VLOOKUP($BF$2,'BD - Itens x Peso'!$A:$B,2,FALSE)*BV10))</f>
        <v>0</v>
      </c>
      <c r="BZ10" s="44">
        <f>IFERROR(IF(A10="",0,VLOOKUP(A10,'Estoque-Imóvel'!A:AC,24,FALSE)),"ID não encontrado")</f>
        <v>0</v>
      </c>
      <c r="CA10" s="40">
        <f>IF(BZ10=0,0,IF(BZ10="ID não encontrado",0,IFERROR(VLOOKUP($BZ$2,'BD - Itens x Peso'!$A:$B,2,FALSE),"Nome ou Peso não encontrado. Utilizado o peso do Edredom Casal como referência")))</f>
        <v>0</v>
      </c>
      <c r="CB10" s="42">
        <f>IFERROR(IF(C10="","Cidade não foi inserida",IF(BZ10=0,0,VLOOKUP(C10,'BD - Valor Lavanderia Por Item'!A:R,12,FALSE))),"Cidade não encontrada")</f>
        <v>0</v>
      </c>
      <c r="CC10" s="42">
        <f>IFERROR(IF(AND('TaxaLimpeza (Proposta)'!$A10&lt;&gt;"", COUNTIF('Configuração-Imóvel'!$A:$A, $A10)&gt;0), CB10*CA10*BZ10,"ID não encontrado"),VLOOKUP($BN$2,'BD - Itens x Peso'!$A:$B,2,FALSE)*CB10*BZ10)</f>
        <v>0</v>
      </c>
      <c r="CD10" s="44">
        <f>IFERROR(IF(A10="",0,VLOOKUP(A10,'Estoque-Imóvel'!A:AC,25,FALSE)),"ID não encontrado")</f>
        <v>0</v>
      </c>
      <c r="CE10" s="40">
        <f>IF(CD10=0,0,IF(CD10="ID não encontrado",0,IFERROR(VLOOKUP($CD$2,'BD - Itens x Peso'!$A:$B,2,FALSE),"Nome ou Peso não encontrado. Utilizado o Edredom Queen Size como referência")))</f>
        <v>0</v>
      </c>
      <c r="CF10" s="42">
        <f>IFERROR(IF(C10="","Cidade não foi inserida",IF(CD10=0,0,VLOOKUP(C10,'BD - Valor Lavanderia Por Item'!A:R,13,FALSE))),"Cidade não encontrada")</f>
        <v>0</v>
      </c>
      <c r="CG10" s="42">
        <f>IFERROR(IF(AND('TaxaLimpeza (Proposta)'!$A10&lt;&gt;"", COUNTIF('Configuração-Imóvel'!$A:$A, $A10)&gt;0), CF10*CE10*CD10,"ID não encontrado"),VLOOKUP($BF$2,'BD - Itens x Peso'!$A:$B,2,FALSE)*CF10*CD10)</f>
        <v>0</v>
      </c>
      <c r="CH10" s="44">
        <f>IFERROR(IF(A10="",0,VLOOKUP(A10,'Estoque-Imóvel'!A:AC,26,FALSE)),"ID não encontrado")</f>
        <v>0</v>
      </c>
      <c r="CI10" s="40">
        <f>IF(CH10=0,0,IF(CH10="ID não encontrado",0,IFERROR(VLOOKUP($CH$2,'BD - Itens x Peso'!$A:$B,2,FALSE),"Nome ou Peso não encontrado")))</f>
        <v>0</v>
      </c>
      <c r="CJ10" s="42">
        <f>IFERROR(IF(C10="","Cidade não foi inserida",IF(CH10=0,0,VLOOKUP(C10,'BD - Valor Lavanderia Por Item'!A:R,15,FALSE))),"Cidade não encontrada")</f>
        <v>0</v>
      </c>
      <c r="CK10" s="42">
        <f>IFERROR(IF(AND('TaxaLimpeza (Proposta)'!$A10&lt;&gt;"", COUNTIF('Configuração-Imóvel'!$A:$A, $A10)&gt;0), CJ10*CI10*CH10,"ID não encontrado"),Tabela1[[#This Row],[Valor por lavanderia '[R$/Kg']80]])</f>
        <v>0</v>
      </c>
      <c r="CL10" s="44">
        <f>IFERROR(IF(A10="",0,VLOOKUP(A10,'Estoque-Imóvel'!A:AC,27,FALSE)),"ID não encontrado")</f>
        <v>0</v>
      </c>
      <c r="CM10" s="40">
        <f>IF(CL10=0,0,IF(CL10="ID não encontrado",0,IFERROR(VLOOKUP($CL$2,'BD - Itens x Peso'!$A:$B,2,FALSE),"Nome ou Peso não encontrado")))</f>
        <v>0</v>
      </c>
      <c r="CN10" s="42">
        <f>IFERROR(IF(C10="","Cidade não foi inserida",IF(CL10=0,0,VLOOKUP(C10,'BD - Valor Lavanderia Por Item'!A:R,17,FALSE))),"Cidade não encontrada")</f>
        <v>0</v>
      </c>
      <c r="CO10" s="42">
        <f>IFERROR(IF(AND('TaxaLimpeza (Proposta)'!$A10&lt;&gt;"", COUNTIF('Configuração-Imóvel'!$A:$A, $A10)&gt;0), CN10*CM10*CL10,"ID não encontrado"),Tabela1[[#This Row],[Valor por lavanderia '[R$/Kg']84]])</f>
        <v>0</v>
      </c>
      <c r="CP10" s="44">
        <f>IFERROR(IF(A10="",0,VLOOKUP(A10,'Estoque-Imóvel'!A:AC,28,FALSE)),"ID não encontrado")</f>
        <v>0</v>
      </c>
      <c r="CQ10" s="40">
        <f>IF(CP10=0,0,IF(CP10="ID não encontrado",0,IFERROR(VLOOKUP($CP$2,'BD - Itens x Peso'!$A:$B,2,FALSE),"Nome ou Peso não encontrado")))</f>
        <v>0</v>
      </c>
      <c r="CR10" s="42">
        <f>IFERROR(IF(C10="","Cidade não foi inserida",IF(CP10=0,0,VLOOKUP(C10,'BD - Valor Lavanderia Por Item'!A:R,18,FALSE))),"Cidade não encontrada")</f>
        <v>0</v>
      </c>
      <c r="CS10" s="42">
        <f>IFERROR(IF(AND('TaxaLimpeza (Proposta)'!$A10&lt;&gt;"", COUNTIF('Configuração-Imóvel'!$A:$A, $A10)&gt;0), CR10*CQ10*CP10,"ID não encontrado"),Tabela1[[#This Row],[Valor por lavanderia '[R$/Kg']3]])</f>
        <v>0</v>
      </c>
      <c r="CT10" s="44">
        <f>IFERROR(IF(A10="",0,VLOOKUP(A10,'Estoque-Imóvel'!A:AC,29,FALSE)),"ID não encontrado")</f>
        <v>3</v>
      </c>
      <c r="CU10" s="40">
        <f>IF(CT10=0,0,IF(CT10="ID não encontrado",0,IFERROR(VLOOKUP($CT$2,'BD - Itens x Peso'!$A:$B,2,FALSE),"Nome ou Peso não encontrado")))</f>
        <v>1.56</v>
      </c>
      <c r="CV10" s="42">
        <f>IFERROR(IF(C10="","Cidade não foi inserida",IF(CT10=0,0,VLOOKUP(C10,'BD - Valor Lavanderia Por Item'!A:R,16,FALSE))),"Cidade não encontrada")</f>
        <v>16.457000000000001</v>
      </c>
      <c r="CW10" s="45">
        <f>IFERROR(IF(AND('TaxaLimpeza (Proposta)'!$A10&lt;&gt;"", COUNTIF('Configuração-Imóvel'!$A:$A, $A10)&gt;0), CV10*CU10*CT10,"ID não encontrado"),Tabela1[[#This Row],[Valor por lavanderia '[R$/Kg']2]])</f>
        <v>77.01876</v>
      </c>
      <c r="CX10" s="34">
        <f t="shared" si="1"/>
        <v>245.77724499999999</v>
      </c>
      <c r="CY10" s="68">
        <f>IFERROR(IF(A10="","",(VLOOKUP(A10,'Configuração-Imóvel'!$A$2:$R$21,16,FALSE)+VLOOKUP(A10,'Configuração-Imóvel'!$A$2:$R$21,17,FALSE))*VLOOKUP($CY$3,'BD - Amenities'!$B$2:$E$7,4,FALSE)),"ID não encontrado")</f>
        <v>0.5</v>
      </c>
      <c r="CZ10" s="69">
        <f>IFERROR(IF(A10="","",(VLOOKUP(A10,'Configuração-Imóvel'!$A$2:$R$21,16,FALSE)+VLOOKUP(A10,'Configuração-Imóvel'!$A$2:$R$21,17,FALSE))*VLOOKUP($CZ$3,'BD - Amenities'!$B$2:$E$7,4,FALSE)),"ID não encontrado")</f>
        <v>4</v>
      </c>
      <c r="DA10" s="69">
        <f>IFERROR(IF(A10="","",VLOOKUP(A10,'Configuração-Imóvel'!$A$2:$R$21,16,FALSE)*VLOOKUP($DA$3,'BD - Amenities'!$B$2:$E$7,4,FALSE)),"ID não encontrado")</f>
        <v>1.5</v>
      </c>
      <c r="DB10" s="69">
        <f>IFERROR(IF(A10="","",VLOOKUP(A10,'Configuração-Imóvel'!$A$2:$R$21,16,FALSE)*VLOOKUP($DB$3,'BD - Amenities'!$B$2:$E$7,4,FALSE)),"ID não encontrado")</f>
        <v>1.5</v>
      </c>
      <c r="DC10" s="35">
        <f t="shared" si="2"/>
        <v>7.5</v>
      </c>
      <c r="DD10" s="37">
        <f>IFERROR(IF(A10="","",VLOOKUP($DD$3,'BD - Material de Limpeza'!$A:$D,4,FALSE)),"ID não encontrado")</f>
        <v>2</v>
      </c>
      <c r="DE10" s="38">
        <f>IFERROR(IF(A10="","",VLOOKUP($DE$3,'BD - Material de Limpeza'!$A:$D,4,FALSE)),"ID não encontrado")</f>
        <v>2</v>
      </c>
      <c r="DF10" s="38">
        <f>IFERROR(IF(A10="","",VLOOKUP($DF$3,'BD - Material de Limpeza'!$A:$D,4,FALSE)),"ID não encontrado")</f>
        <v>1</v>
      </c>
      <c r="DG10" s="38">
        <f>IFERROR(IF(A10="","",VLOOKUP($DG$3,'BD - Material de Limpeza'!$A:$D,4,FALSE)),"ID não encontrado")</f>
        <v>1</v>
      </c>
      <c r="DH10" s="38">
        <f>IFERROR(IF(A10="","",VLOOKUP($DH$3,'BD - Material de Limpeza'!$A:$D,4,FALSE)),"ID não encontrado")</f>
        <v>1</v>
      </c>
      <c r="DI10" s="38">
        <f>IFERROR(IF(A10="","",VLOOKUP($DI$3,'BD - Material de Limpeza'!$A:$D,4,FALSE)),"ID não encontrado")</f>
        <v>1</v>
      </c>
      <c r="DJ10" s="38">
        <f>IFERROR(IF(A10="","",VLOOKUP($DJ$3,'BD - Material de Limpeza'!$A:$D,4,FALSE)),"ID não encontrado")</f>
        <v>1</v>
      </c>
      <c r="DK10" s="36">
        <f t="shared" si="0"/>
        <v>9</v>
      </c>
      <c r="DL10" s="72" cm="1">
        <f t="array" ref="DL10">IFERROR(IF('TaxaLimpeza (Proposta)'!$A10="","",INDEX('BD - Valor Limpeza Diarista'!B:B,INDEX('Configuração-Imóvel'!O:O,MATCH(A10,'Configuração-Imóvel'!A:A,0))+1,0)),"ID não encontrado")</f>
        <v>220</v>
      </c>
      <c r="DM10" s="67">
        <f t="shared" si="3"/>
        <v>530.50496950000002</v>
      </c>
      <c r="DN10" s="23" t="s">
        <v>181</v>
      </c>
      <c r="DP10" s="74"/>
    </row>
    <row r="11" spans="1:120" ht="15.75" customHeight="1">
      <c r="A11" s="65" t="s">
        <v>15</v>
      </c>
      <c r="B11" s="32" t="s">
        <v>154</v>
      </c>
      <c r="C11" s="32" t="s">
        <v>95</v>
      </c>
      <c r="D11" s="32" t="s">
        <v>155</v>
      </c>
      <c r="E11" s="33" t="s">
        <v>201</v>
      </c>
      <c r="F11" s="39">
        <f>IFERROR(IF(A11="",0,VLOOKUP(A11,'Estoque-Imóvel'!A:AC,6,FALSE)),"ID não encontrado")</f>
        <v>1</v>
      </c>
      <c r="G11" s="40">
        <f>IF(F11=0,0,IF(F11="ID não encontrado",0,IFERROR(VLOOKUP($F$2,'BD - Itens x Peso'!$A:$B,2,FALSE),"Nome ou Peso não encontrado")))</f>
        <v>0.24</v>
      </c>
      <c r="H11" s="41">
        <f>IFERROR(IF(C11="","Cidade não foi inserida",IF(F11=0,0,VLOOKUP(C11,'BD - Valor Lavanderia Por Item'!A:R,2,FALSE))),"Cidade não encontrada")</f>
        <v>2.7519999999999998</v>
      </c>
      <c r="I11" s="42">
        <f>IFERROR(IF(AND('TaxaLimpeza (Proposta)'!$A11&lt;&gt;"", COUNTIF('Configuração-Imóvel'!$A:$A, $A11)&gt;0), H11*G11*F11,"ID não encontrado"),H11)</f>
        <v>0.66047999999999996</v>
      </c>
      <c r="J11" s="43">
        <f>IFERROR(IF(A11="",0,VLOOKUP(A11,'Estoque-Imóvel'!A:AC,7,FALSE)),"ID não encontrado")</f>
        <v>1</v>
      </c>
      <c r="K11" s="40">
        <f>IF(J11=0,0,IF(J11="ID não encontrado",0,IFERROR(VLOOKUP($J$2,'BD - Itens x Peso'!$A:$B,2,FALSE),"Nome ou Peso não encontrado")))</f>
        <v>0.16</v>
      </c>
      <c r="L11" s="41">
        <f>IFERROR(IF(C11="","Cidade não foi inserida",IF(J11=0,0,VLOOKUP(C11,'BD - Valor Lavanderia Por Item'!A:R,3,FALSE))),"Cidade não encontrada")</f>
        <v>3.5345</v>
      </c>
      <c r="M11" s="41">
        <f>IFERROR(IF(AND('TaxaLimpeza (Proposta)'!$A11&lt;&gt;"", COUNTIF('Configuração-Imóvel'!$A:$A, $A11)&gt;0), L11*K11*J11,"ID não encontrado"),Tabela1[[#This Row],[Valor por lavanderia '[R$/Kg']4]])</f>
        <v>0.56552000000000002</v>
      </c>
      <c r="N11" s="44">
        <f>IFERROR(IF(A11="",0,VLOOKUP(A11,'Estoque-Imóvel'!A:AC,8,FALSE)),"ID não encontrado")</f>
        <v>0</v>
      </c>
      <c r="O11" s="40">
        <f>IF(N11=0,0,IF(N11="ID não encontrado",0,IFERROR(VLOOKUP($N$2,'BD - Itens x Peso'!$A:$B,2,FALSE),"Nome ou Peso não encontrado")))</f>
        <v>0</v>
      </c>
      <c r="P11" s="42">
        <f>IFERROR(IF(C11="","Cidade não foi inserida",IF(N11=0,0,VLOOKUP(C11,'BD - Valor Lavanderia Por Item'!A:R,2,FALSE))),"Cidade não encontrada")</f>
        <v>0</v>
      </c>
      <c r="Q11" s="42">
        <f>IFERROR(IF(AND('TaxaLimpeza (Proposta)'!$A11&lt;&gt;"", COUNTIF('Configuração-Imóvel'!$A:$A, $A11)&gt;0), P11*O11*N11,"ID não encontrado"),Tabela1[[#This Row],[Valor por lavanderia '[R$/Kg']8]])</f>
        <v>0</v>
      </c>
      <c r="R11" s="44">
        <f>IFERROR(IF(A11="",0,VLOOKUP(A11,'Estoque-Imóvel'!A:AC,9,FALSE)),"ID não encontrado")</f>
        <v>4</v>
      </c>
      <c r="S11" s="40">
        <f>IF(R11=0,0,IF(R11="ID não encontrado",0,IFERROR(VLOOKUP($R$2,'BD - Itens x Peso'!$A:$B,2,FALSE),"Nome ou Peso não encontrado")))</f>
        <v>0.39</v>
      </c>
      <c r="T11" s="42">
        <f>IFERROR(IF(C11="","Cidade não foi inserida",IF(R11=0,0,VLOOKUP(C11,'BD - Valor Lavanderia Por Item'!A:R,4,FALSE))),"Cidade não encontrada")</f>
        <v>4.7865000000000002</v>
      </c>
      <c r="U11" s="42">
        <f>IFERROR(IF(AND('TaxaLimpeza (Proposta)'!$A11&lt;&gt;"", COUNTIF('Configuração-Imóvel'!$A:$A, $A11)&gt;0), T11*S11*R11,"ID não encontrado"),Tabela1[[#This Row],[Valor por lavanderia '[R$/Kg']12]])</f>
        <v>7.4669400000000001</v>
      </c>
      <c r="V11" s="44">
        <f>IFERROR(IF(A11="",0,VLOOKUP(A11,'Estoque-Imóvel'!A:AC,10,FALSE)),"ID não encontrado")</f>
        <v>0</v>
      </c>
      <c r="W11" s="40">
        <f>IF(V11=0,0,IF(V11="ID não encontrado",0,IFERROR(VLOOKUP($V$2,'BD - Itens x Peso'!$A:$B,2,FALSE),"Nome ou Peso não encontrado")))</f>
        <v>0</v>
      </c>
      <c r="X11" s="42">
        <f>IFERROR(IF(C11="","Cidade não foi inserida",IF(V11=0,0,VLOOKUP(C11,'BD - Valor Lavanderia Por Item'!A:R,3,FALSE))),"Cidade não encontrada")</f>
        <v>0</v>
      </c>
      <c r="Y11" s="42">
        <f>IFERROR(IF(AND('TaxaLimpeza (Proposta)'!$A11&lt;&gt;"", COUNTIF('Configuração-Imóvel'!$A:$A, $A11)&gt;0), X11*W11*V11,"ID não encontrado"),Tabela1[[#This Row],[Valor por lavanderia '[R$/Kg']16]])</f>
        <v>0</v>
      </c>
      <c r="Z11" s="44">
        <f>IFERROR(IF(A11="",0,VLOOKUP(A11,'Estoque-Imóvel'!A:AC,11,FALSE)),"ID não encontrado")</f>
        <v>0</v>
      </c>
      <c r="AA11" s="40">
        <f>IF(Z11=0,0,IF(Z11="ID não encontrado",0,IFERROR(VLOOKUP($Z$2,'BD - Itens x Peso'!$A:$B,2,FALSE),"Nome ou Peso não encontrado")))</f>
        <v>0</v>
      </c>
      <c r="AB11" s="42">
        <f>IFERROR(IF(C11="","Cidade não foi inserida",IF(Z11=0,0,VLOOKUP(C11,'BD - Valor Lavanderia Por Item'!A:R,3,FALSE))),"Cidade não encontrada")</f>
        <v>0</v>
      </c>
      <c r="AC11" s="42">
        <f>IFERROR(IF(AND('TaxaLimpeza (Proposta)'!$A11&lt;&gt;"", COUNTIF('Configuração-Imóvel'!$A:$A, $A11)&gt;0), AB11*AA11*Z11,"ID não encontrado"),Tabela1[[#This Row],[Valor por lavanderia '[R$/Kg']20]])</f>
        <v>0</v>
      </c>
      <c r="AD11" s="44">
        <f>IFERROR(IF(A11="",0,VLOOKUP(A11,'Estoque-Imóvel'!A:AC,12,FALSE)),"ID não encontrado")</f>
        <v>1</v>
      </c>
      <c r="AE11" s="40">
        <f>IF(AD11=0,0,IF(AD11="ID não encontrado",0,IFERROR(VLOOKUP($AD$2,'BD - Itens x Peso'!$A:$B,2,FALSE),"Nome ou Peso não encontrado")))</f>
        <v>1.01</v>
      </c>
      <c r="AF11" s="42">
        <f>IFERROR(IF(C11="","Cidade não foi inserida",IF(AD11=0,0,VLOOKUP(C11,'BD - Valor Lavanderia Por Item'!A:R,9,FALSE))),"Cidade não encontrada")</f>
        <v>9.3249999999999993</v>
      </c>
      <c r="AG11" s="42">
        <f>IFERROR(IF(AND('TaxaLimpeza (Proposta)'!$A11&lt;&gt;"", COUNTIF('Configuração-Imóvel'!$A:$A, $A11)&gt;0), AF11*AE11*AD11,"ID não encontrado"),Tabela1[[#This Row],[Valor por lavanderia '[R$/Kg']24]])</f>
        <v>9.4182499999999987</v>
      </c>
      <c r="AH11" s="44">
        <f>IFERROR(IF(A11="",0,VLOOKUP(A11,'Estoque-Imóvel'!A:AC,13,FALSE)),"ID não encontrado")</f>
        <v>0</v>
      </c>
      <c r="AI11" s="40">
        <f>IF(AH11=0,0,IF(AH11="ID não encontrado",0,IFERROR(VLOOKUP($AH$2,'BD - Itens x Peso'!$A:$B,2,FALSE),"Nome ou Peso não encontrado")))</f>
        <v>0</v>
      </c>
      <c r="AJ11" s="42">
        <f>IFERROR(IF(C11="","Cidade não foi inserida",IF(AH11=0,0,VLOOKUP(C11,'BD - Valor Lavanderia Por Item'!A:R,6,FALSE))),"Cidade não encontrada")</f>
        <v>0</v>
      </c>
      <c r="AK11" s="42">
        <f>IFERROR(IF(AND('TaxaLimpeza (Proposta)'!$A11&lt;&gt;"", COUNTIF('Configuração-Imóvel'!$A:$A, $A11)&gt;0), AJ11*AI11*AH11,"ID não encontrado"),Tabela1[[#This Row],[Valor por lavanderia '[R$/Kg']28]])</f>
        <v>0</v>
      </c>
      <c r="AL11" s="44">
        <f>IFERROR(IF(A11="",0,VLOOKUP(A11,'Estoque-Imóvel'!A:AC,14,FALSE)),"ID não encontrado")</f>
        <v>2</v>
      </c>
      <c r="AM11" s="40">
        <f>IF(AL11=0,0,IF(AL11="ID não encontrado",0,IFERROR(VLOOKUP($AL$2,'BD - Itens x Peso'!$A:$B,2,FALSE),"Nome ou Peso não encontrado")))</f>
        <v>0.3</v>
      </c>
      <c r="AN11" s="42">
        <f>IFERROR(IF(C11="","Cidade não foi inserida",IF(AL11=0,0,VLOOKUP(C11,'BD - Valor Lavanderia Por Item'!A:R,8,FALSE))),"Cidade não encontrada")</f>
        <v>8.5425000000000004</v>
      </c>
      <c r="AO11" s="42">
        <f>IFERROR(IF(AND('TaxaLimpeza (Proposta)'!$A11&lt;&gt;"", COUNTIF('Configuração-Imóvel'!$A:$A, $A11)&gt;0), AN11*AM11*AL11,"ID não encontrado"),Tabela1[[#This Row],[Valor por lavanderia '[R$/Kg']32]])</f>
        <v>5.1254999999999997</v>
      </c>
      <c r="AP11" s="44">
        <f>IFERROR(IF(A11="",0,VLOOKUP(A11,'Estoque-Imóvel'!A:AC,15,FALSE)),"ID não encontrado")</f>
        <v>0</v>
      </c>
      <c r="AQ11" s="40">
        <f>IF(AP11=0,0,IF(AP11="ID não encontrado",0,IFERROR(VLOOKUP($AP$2,'BD - Itens x Peso'!$A:$B,2,FALSE),"Nome ou Peso não encontrado")))</f>
        <v>0</v>
      </c>
      <c r="AR11" s="42">
        <f>IFERROR(IF(C11="","Cidade não foi inserida",IF(AP11=0,0,VLOOKUP(C11,'BD - Valor Lavanderia Por Item'!A:R,8,FALSE))),"Cidade não encontrada")</f>
        <v>0</v>
      </c>
      <c r="AS11" s="42">
        <f>IFERROR(IF(AND('TaxaLimpeza (Proposta)'!$A11&lt;&gt;"", COUNTIF('Configuração-Imóvel'!$A:$A, $A11)&gt;0), AR11*AQ11*AP11,"ID não encontrado"),Tabela1[[#This Row],[Valor por lavanderia '[R$/Kg']36]])</f>
        <v>0</v>
      </c>
      <c r="AT11" s="44">
        <f>IFERROR(IF(A11="",0,VLOOKUP(A11,'Estoque-Imóvel'!A:AC,16,FALSE)),"ID não encontrado")</f>
        <v>2</v>
      </c>
      <c r="AU11" s="40">
        <f>IF(AT11=0,0,IF(AT11="ID não encontrado",0,IFERROR(VLOOKUP($AT$2,'BD - Itens x Peso'!$A:$B,2,FALSE),"Nome ou Peso não encontrado")))</f>
        <v>0.3</v>
      </c>
      <c r="AV11" s="42">
        <f>IFERROR(IF(C11="","Cidade não foi inserida",IF(AT11=0,0,VLOOKUP(C11,'BD - Valor Lavanderia Por Item'!A:R,7,FALSE))),"Cidade não encontrada")</f>
        <v>6.9774999999999991</v>
      </c>
      <c r="AW11" s="42">
        <f>IFERROR(IF(AND('TaxaLimpeza (Proposta)'!$A11&lt;&gt;"", COUNTIF('Configuração-Imóvel'!$A:$A, $A11)&gt;0), AV11*AU11*AT11,"ID não encontrado"),Tabela1[[#This Row],[Valor por lavanderia '[R$/Kg']40]])</f>
        <v>4.1864999999999997</v>
      </c>
      <c r="AX11" s="44">
        <f>IFERROR(IF(A11="",0,VLOOKUP(A11,'Estoque-Imóvel'!A:AC,17,FALSE)),"Code não encontrado")</f>
        <v>4</v>
      </c>
      <c r="AY11" s="40">
        <f>IF(AX11=0,0,IF(AX11="ID não encontrado",0,IFERROR(VLOOKUP($AX$2,'BD - Itens x Peso'!$A:$B,2,FALSE),"Nome ou Peso não encontrado")))</f>
        <v>0.19</v>
      </c>
      <c r="AZ11" s="42">
        <f>IFERROR(IF(C11="","Cidade não foi inserida",IF(AX11=0,0,VLOOKUP(C11,'BD - Valor Lavanderia Por Item'!A:R,5,FALSE))),"Cidade não encontrada")</f>
        <v>3.0649999999999999</v>
      </c>
      <c r="BA11" s="42">
        <f>IFERROR(IF(AND('TaxaLimpeza (Proposta)'!$A11&lt;&gt;"", COUNTIF('Configuração-Imóvel'!$A:$A, $A11)&gt;0), AZ11*AY11*AX11,"ID não encontrado"),Tabela1[[#This Row],[Valor por lavanderia '[R$/Kg']44]])</f>
        <v>2.3294000000000001</v>
      </c>
      <c r="BB11" s="44">
        <f>IFERROR(IF(A11="",0,VLOOKUP(A11,'Estoque-Imóvel'!A:AC,18,FALSE)),"ID não encontrado")</f>
        <v>0</v>
      </c>
      <c r="BC11" s="40">
        <f>IF(BB11=0,0,IF(BB11="ID não encontrado",0,IFERROR(VLOOKUP($BB$2,'BD - Itens x Peso'!$A:$B,2,FALSE),"Nome ou Peso não encontrado")))</f>
        <v>0</v>
      </c>
      <c r="BD11" s="42">
        <f>IFERROR(IF(C11="","Cidade não foi inserida",IF(BB11=0,0,VLOOKUP(C11,'BD - Valor Lavanderia Por Item'!A:R,11,FALSE))),"Cidade não encontrada")</f>
        <v>0</v>
      </c>
      <c r="BE11" s="42">
        <f>IFERROR(IF(AND('TaxaLimpeza (Proposta)'!$A11&lt;&gt;"", COUNTIF('Configuração-Imóvel'!$A:$A, $A11)&gt;0), BD11*BC11*BB11,"ID não encontrado"),Tabela1[[#This Row],[Valor por lavanderia '[R$/Kg']48]])</f>
        <v>0</v>
      </c>
      <c r="BF11" s="44">
        <f>IFERROR(IF(A11="",0,VLOOKUP(A11,'Estoque-Imóvel'!A:AC,19,FALSE)),"ID não encontrado")</f>
        <v>1</v>
      </c>
      <c r="BG11" s="40">
        <f>IF(BF11=0,0,IF(BF11="ID não encontrado",0,IFERROR(VLOOKUP($BF$2,'BD - Itens x Peso'!$A:$B,2,FALSE),"Nome ou Peso não encontrado")))</f>
        <v>2.62</v>
      </c>
      <c r="BH11" s="42">
        <f>IFERROR(IF(C11="","Cidade não foi inserida",IF(BF11=0,0,VLOOKUP(C11,'BD - Valor Lavanderia Por Item'!A:R,13,FALSE))),"Cidade não encontrada")</f>
        <v>41.7575</v>
      </c>
      <c r="BI11" s="42">
        <f>IFERROR(IF(AND('TaxaLimpeza (Proposta)'!$A11&lt;&gt;"", COUNTIF('Configuração-Imóvel'!$A:$A, $A11)&gt;0), BH11*BG11*BF11,"ID não encontrado"),Tabela1[[#This Row],[Valor por lavanderia '[R$/Kg']52]])</f>
        <v>109.40465</v>
      </c>
      <c r="BJ11" s="44">
        <f>IFERROR(IF(A11="",0,VLOOKUP(A11,'Estoque-Imóvel'!A:AC,20,FALSE)),"ID não encontrado")</f>
        <v>0</v>
      </c>
      <c r="BK11" s="40">
        <f>IF(BJ11=0,0,IF(BJ11="ID não encontrado",0,IFERROR(VLOOKUP($BJ$2,'BD - Itens x Peso'!$A:$B,2,FALSE),"Nome ou Peso não encontrado")))</f>
        <v>0</v>
      </c>
      <c r="BL11" s="42">
        <f>IFERROR(IF(C11="","Cidade não foi inserida",IF(BJ11=0,0,VLOOKUP(C11,'BD - Valor Lavanderia Por Item'!A:R,13,FALSE))),"Cidade não encontrada")</f>
        <v>0</v>
      </c>
      <c r="BM11" s="42">
        <f>IFERROR(IF(AND('TaxaLimpeza (Proposta)'!$A11&lt;&gt;"", COUNTIF('Configuração-Imóvel'!$A:$A, $A11)&gt;0), BL11*BK11*BJ11,"ID não encontrado"),Tabela1[[#This Row],[Valor por lavanderia '[R$/Kg']56]])</f>
        <v>0</v>
      </c>
      <c r="BN11" s="44">
        <f>IFERROR(IF(A11="",0,VLOOKUP(A11,'Estoque-Imóvel'!A:AC,21,FALSE)),"ID não encontrado")</f>
        <v>0</v>
      </c>
      <c r="BO11" s="40">
        <f>IF(BN11=0,0,IF(BN11="ID não encontrado",0,IFERROR(VLOOKUP($BN$2,'BD - Itens x Peso'!$A:$B,2,FALSE),"Nome ou Peso não encontrado")))</f>
        <v>0</v>
      </c>
      <c r="BP11" s="42">
        <f>IFERROR(IF(C11="","Cidade não foi inserida",IF(BN11=0,0,VLOOKUP(C11,'BD - Valor Lavanderia Por Item'!A:R,13,FALSE))),"Cidade não encontrada")</f>
        <v>0</v>
      </c>
      <c r="BQ11" s="42">
        <f>IFERROR(IF(AND('TaxaLimpeza (Proposta)'!$A11&lt;&gt;"", COUNTIF('Configuração-Imóvel'!$A:$A, $A11)&gt;0), BP11*BO11*BN11,"ID não encontrado"),Tabela1[[#This Row],[Valor por lavanderia '[R$/Kg']60]])</f>
        <v>0</v>
      </c>
      <c r="BR11" s="44">
        <f>IFERROR(IF(A11="",0,VLOOKUP(A11,'Estoque-Imóvel'!A:AC,22,FALSE)),"ID não encontrado")</f>
        <v>0</v>
      </c>
      <c r="BS11" s="40">
        <f>IF(BR11=0,0,IF(BR11="ID não encontrado",0,IFERROR(VLOOKUP($BR$2,'BD - Itens x Peso'!$A:$B,2,FALSE),"Nome ou Peso não encontrado. Utilizado o Edredom Solteiro como referência")))</f>
        <v>0</v>
      </c>
      <c r="BT11" s="42">
        <f>IFERROR(IF(C11="","Cidade não foi inserida",IF(BR11=0,0,VLOOKUP(C11,'BD - Valor Lavanderia Por Item'!A:R,11,FALSE))),"Cidade não encontrada")</f>
        <v>0</v>
      </c>
      <c r="BU11" s="42">
        <f>IFERROR(IF(AND('TaxaLimpeza (Proposta)'!$A11&lt;&gt;"", COUNTIF('Configuração-Imóvel'!$A:$A, $A11)&gt;0), BT11*BS11*BR11,"ID não encontrado"),BT11*VLOOKUP($BB$2,'BD - Itens x Peso'!$A:$B,2,FALSE)*BR11)</f>
        <v>0</v>
      </c>
      <c r="BV11" s="44">
        <f>IFERROR(IF(A11="",0,VLOOKUP(A11,'Estoque-Imóvel'!A:AC,23,FALSE)),"ID não encontrado")</f>
        <v>0</v>
      </c>
      <c r="BW11" s="40">
        <f>IF(BV11=0,0,IF(BV11="ID não encontrado",0,IFERROR(VLOOKUP($BV$2,'BD - Itens x Peso'!$A:$B,2,FALSE),"Nome ou Peso não encontrado. Utilizado o Edredom Queen Size como referência")))</f>
        <v>0</v>
      </c>
      <c r="BX11" s="42">
        <f>IFERROR(IF(C11="","Cidade não foi inserida",IF(BV11=0,0,VLOOKUP(C11,'BD - Valor Lavanderia Por Item'!A:R,13,FALSE))),"Cidade não encontrada")</f>
        <v>0</v>
      </c>
      <c r="BY11" s="42">
        <f>IFERROR(IF(AND('TaxaLimpeza (Proposta)'!$A11&lt;&gt;"",COUNTIF('Configuração-Imóvel'!$A:$A,$A11)&gt;0),BX11*BW11*BV11,"ID não encontrado"),BX11*(VLOOKUP($BF$2,'BD - Itens x Peso'!$A:$B,2,FALSE)*BV11))</f>
        <v>0</v>
      </c>
      <c r="BZ11" s="44">
        <f>IFERROR(IF(A11="",0,VLOOKUP(A11,'Estoque-Imóvel'!A:AC,24,FALSE)),"ID não encontrado")</f>
        <v>0</v>
      </c>
      <c r="CA11" s="40">
        <f>IF(BZ11=0,0,IF(BZ11="ID não encontrado",0,IFERROR(VLOOKUP($BZ$2,'BD - Itens x Peso'!$A:$B,2,FALSE),"Nome ou Peso não encontrado. Utilizado o peso do Edredom Casal como referência")))</f>
        <v>0</v>
      </c>
      <c r="CB11" s="42">
        <f>IFERROR(IF(C11="","Cidade não foi inserida",IF(BZ11=0,0,VLOOKUP(C11,'BD - Valor Lavanderia Por Item'!A:R,12,FALSE))),"Cidade não encontrada")</f>
        <v>0</v>
      </c>
      <c r="CC11" s="42">
        <f>IFERROR(IF(AND('TaxaLimpeza (Proposta)'!$A11&lt;&gt;"", COUNTIF('Configuração-Imóvel'!$A:$A, $A11)&gt;0), CB11*CA11*BZ11,"ID não encontrado"),VLOOKUP($BN$2,'BD - Itens x Peso'!$A:$B,2,FALSE)*CB11*BZ11)</f>
        <v>0</v>
      </c>
      <c r="CD11" s="44">
        <f>IFERROR(IF(A11="",0,VLOOKUP(A11,'Estoque-Imóvel'!A:AC,25,FALSE)),"ID não encontrado")</f>
        <v>0</v>
      </c>
      <c r="CE11" s="40">
        <f>IF(CD11=0,0,IF(CD11="ID não encontrado",0,IFERROR(VLOOKUP($CD$2,'BD - Itens x Peso'!$A:$B,2,FALSE),"Nome ou Peso não encontrado. Utilizado o Edredom Queen Size como referência")))</f>
        <v>0</v>
      </c>
      <c r="CF11" s="42">
        <f>IFERROR(IF(C11="","Cidade não foi inserida",IF(CD11=0,0,VLOOKUP(C11,'BD - Valor Lavanderia Por Item'!A:R,13,FALSE))),"Cidade não encontrada")</f>
        <v>0</v>
      </c>
      <c r="CG11" s="42">
        <f>IFERROR(IF(AND('TaxaLimpeza (Proposta)'!$A11&lt;&gt;"", COUNTIF('Configuração-Imóvel'!$A:$A, $A11)&gt;0), CF11*CE11*CD11,"ID não encontrado"),VLOOKUP($BF$2,'BD - Itens x Peso'!$A:$B,2,FALSE)*CF11*CD11)</f>
        <v>0</v>
      </c>
      <c r="CH11" s="44">
        <f>IFERROR(IF(A11="",0,VLOOKUP(A11,'Estoque-Imóvel'!A:AC,26,FALSE)),"ID não encontrado")</f>
        <v>0</v>
      </c>
      <c r="CI11" s="40">
        <f>IF(CH11=0,0,IF(CH11="ID não encontrado",0,IFERROR(VLOOKUP($CH$2,'BD - Itens x Peso'!$A:$B,2,FALSE),"Nome ou Peso não encontrado")))</f>
        <v>0</v>
      </c>
      <c r="CJ11" s="42">
        <f>IFERROR(IF(C11="","Cidade não foi inserida",IF(CH11=0,0,VLOOKUP(C11,'BD - Valor Lavanderia Por Item'!A:R,15,FALSE))),"Cidade não encontrada")</f>
        <v>0</v>
      </c>
      <c r="CK11" s="42">
        <f>IFERROR(IF(AND('TaxaLimpeza (Proposta)'!$A11&lt;&gt;"", COUNTIF('Configuração-Imóvel'!$A:$A, $A11)&gt;0), CJ11*CI11*CH11,"ID não encontrado"),Tabela1[[#This Row],[Valor por lavanderia '[R$/Kg']80]])</f>
        <v>0</v>
      </c>
      <c r="CL11" s="44">
        <f>IFERROR(IF(A11="",0,VLOOKUP(A11,'Estoque-Imóvel'!A:AC,27,FALSE)),"ID não encontrado")</f>
        <v>1</v>
      </c>
      <c r="CM11" s="40">
        <f>IF(CL11=0,0,IF(CL11="ID não encontrado",0,IFERROR(VLOOKUP($CL$2,'BD - Itens x Peso'!$A:$B,2,FALSE),"Nome ou Peso não encontrado")))</f>
        <v>1.56</v>
      </c>
      <c r="CN11" s="42">
        <f>IFERROR(IF(C11="","Cidade não foi inserida",IF(CL11=0,0,VLOOKUP(C11,'BD - Valor Lavanderia Por Item'!A:R,17,FALSE))),"Cidade não encontrada")</f>
        <v>16.457000000000001</v>
      </c>
      <c r="CO11" s="42">
        <f>IFERROR(IF(AND('TaxaLimpeza (Proposta)'!$A11&lt;&gt;"", COUNTIF('Configuração-Imóvel'!$A:$A, $A11)&gt;0), CN11*CM11*CL11,"ID não encontrado"),Tabela1[[#This Row],[Valor por lavanderia '[R$/Kg']84]])</f>
        <v>25.672920000000001</v>
      </c>
      <c r="CP11" s="44">
        <f>IFERROR(IF(A11="",0,VLOOKUP(A11,'Estoque-Imóvel'!A:AC,28,FALSE)),"ID não encontrado")</f>
        <v>0</v>
      </c>
      <c r="CQ11" s="40">
        <f>IF(CP11=0,0,IF(CP11="ID não encontrado",0,IFERROR(VLOOKUP($CP$2,'BD - Itens x Peso'!$A:$B,2,FALSE),"Nome ou Peso não encontrado")))</f>
        <v>0</v>
      </c>
      <c r="CR11" s="42">
        <f>IFERROR(IF(C11="","Cidade não foi inserida",IF(CP11=0,0,VLOOKUP(C11,'BD - Valor Lavanderia Por Item'!A:R,18,FALSE))),"Cidade não encontrada")</f>
        <v>0</v>
      </c>
      <c r="CS11" s="42">
        <f>IFERROR(IF(AND('TaxaLimpeza (Proposta)'!$A11&lt;&gt;"", COUNTIF('Configuração-Imóvel'!$A:$A, $A11)&gt;0), CR11*CQ11*CP11,"ID não encontrado"),Tabela1[[#This Row],[Valor por lavanderia '[R$/Kg']3]])</f>
        <v>0</v>
      </c>
      <c r="CT11" s="44">
        <f>IFERROR(IF(A11="",0,VLOOKUP(A11,'Estoque-Imóvel'!A:AC,29,FALSE)),"ID não encontrado")</f>
        <v>0</v>
      </c>
      <c r="CU11" s="40">
        <f>IF(CT11=0,0,IF(CT11="ID não encontrado",0,IFERROR(VLOOKUP($CT$2,'BD - Itens x Peso'!$A:$B,2,FALSE),"Nome ou Peso não encontrado")))</f>
        <v>0</v>
      </c>
      <c r="CV11" s="42">
        <f>IFERROR(IF(C11="","Cidade não foi inserida",IF(CT11=0,0,VLOOKUP(C11,'BD - Valor Lavanderia Por Item'!A:R,16,FALSE))),"Cidade não encontrada")</f>
        <v>0</v>
      </c>
      <c r="CW11" s="45">
        <f>IFERROR(IF(AND('TaxaLimpeza (Proposta)'!$A11&lt;&gt;"", COUNTIF('Configuração-Imóvel'!$A:$A, $A11)&gt;0), CV11*CU11*CT11,"ID não encontrado"),Tabela1[[#This Row],[Valor por lavanderia '[R$/Kg']2]])</f>
        <v>0</v>
      </c>
      <c r="CX11" s="34">
        <f t="shared" si="1"/>
        <v>164.83016000000001</v>
      </c>
      <c r="CY11" s="68">
        <f>IFERROR(IF(A11="","",(VLOOKUP(A11,'Configuração-Imóvel'!$A$2:$R$21,16,FALSE)+VLOOKUP(A11,'Configuração-Imóvel'!$A$2:$R$21,17,FALSE))*VLOOKUP($CY$3,'BD - Amenities'!$B$2:$E$7,4,FALSE)),"ID não encontrado")</f>
        <v>0.5</v>
      </c>
      <c r="CZ11" s="69">
        <f>IFERROR(IF(A11="","",(VLOOKUP(A11,'Configuração-Imóvel'!$A$2:$R$21,16,FALSE)+VLOOKUP(A11,'Configuração-Imóvel'!$A$2:$R$21,17,FALSE))*VLOOKUP($CZ$3,'BD - Amenities'!$B$2:$E$7,4,FALSE)),"ID não encontrado")</f>
        <v>4</v>
      </c>
      <c r="DA11" s="69">
        <f>IFERROR(IF(A11="","",VLOOKUP(A11,'Configuração-Imóvel'!$A$2:$R$21,16,FALSE)*VLOOKUP($DA$3,'BD - Amenities'!$B$2:$E$7,4,FALSE)),"ID não encontrado")</f>
        <v>1.5</v>
      </c>
      <c r="DB11" s="69">
        <f>IFERROR(IF(A11="","",VLOOKUP(A11,'Configuração-Imóvel'!$A$2:$R$21,16,FALSE)*VLOOKUP($DB$3,'BD - Amenities'!$B$2:$E$7,4,FALSE)),"ID não encontrado")</f>
        <v>1.5</v>
      </c>
      <c r="DC11" s="35">
        <f t="shared" si="2"/>
        <v>7.5</v>
      </c>
      <c r="DD11" s="37">
        <f>IFERROR(IF(A11="","",VLOOKUP($DD$3,'BD - Material de Limpeza'!$A:$D,4,FALSE)),"ID não encontrado")</f>
        <v>2</v>
      </c>
      <c r="DE11" s="38">
        <f>IFERROR(IF(A11="","",VLOOKUP($DE$3,'BD - Material de Limpeza'!$A:$D,4,FALSE)),"ID não encontrado")</f>
        <v>2</v>
      </c>
      <c r="DF11" s="38">
        <f>IFERROR(IF(A11="","",VLOOKUP($DF$3,'BD - Material de Limpeza'!$A:$D,4,FALSE)),"ID não encontrado")</f>
        <v>1</v>
      </c>
      <c r="DG11" s="38">
        <f>IFERROR(IF(A11="","",VLOOKUP($DG$3,'BD - Material de Limpeza'!$A:$D,4,FALSE)),"ID não encontrado")</f>
        <v>1</v>
      </c>
      <c r="DH11" s="38">
        <f>IFERROR(IF(A11="","",VLOOKUP($DH$3,'BD - Material de Limpeza'!$A:$D,4,FALSE)),"ID não encontrado")</f>
        <v>1</v>
      </c>
      <c r="DI11" s="38">
        <f>IFERROR(IF(A11="","",VLOOKUP($DI$3,'BD - Material de Limpeza'!$A:$D,4,FALSE)),"ID não encontrado")</f>
        <v>1</v>
      </c>
      <c r="DJ11" s="38">
        <f>IFERROR(IF(A11="","",VLOOKUP($DJ$3,'BD - Material de Limpeza'!$A:$D,4,FALSE)),"ID não encontrado")</f>
        <v>1</v>
      </c>
      <c r="DK11" s="36">
        <f t="shared" si="0"/>
        <v>9</v>
      </c>
      <c r="DL11" s="72" cm="1">
        <f t="array" ref="DL11">IFERROR(IF('TaxaLimpeza (Proposta)'!$A11="","",INDEX('BD - Valor Limpeza Diarista'!B:B,INDEX('Configuração-Imóvel'!O:O,MATCH(A11,'Configuração-Imóvel'!A:A,0))+1,0)),"ID não encontrado")</f>
        <v>220</v>
      </c>
      <c r="DM11" s="67">
        <f t="shared" si="3"/>
        <v>441.46317600000003</v>
      </c>
      <c r="DN11" s="23" t="s">
        <v>182</v>
      </c>
      <c r="DP11" s="74"/>
    </row>
    <row r="12" spans="1:120" ht="15.75" customHeight="1">
      <c r="A12" s="65" t="s">
        <v>16</v>
      </c>
      <c r="B12" s="32" t="s">
        <v>154</v>
      </c>
      <c r="C12" s="32" t="s">
        <v>95</v>
      </c>
      <c r="D12" s="32" t="s">
        <v>155</v>
      </c>
      <c r="E12" s="33" t="s">
        <v>201</v>
      </c>
      <c r="F12" s="39">
        <f>IFERROR(IF(A12="",0,VLOOKUP(A12,'Estoque-Imóvel'!A:AC,6,FALSE)),"ID não encontrado")</f>
        <v>1</v>
      </c>
      <c r="G12" s="40">
        <f>IF(F12=0,0,IF(F12="ID não encontrado",0,IFERROR(VLOOKUP($F$2,'BD - Itens x Peso'!$A:$B,2,FALSE),"Nome ou Peso não encontrado")))</f>
        <v>0.24</v>
      </c>
      <c r="H12" s="41">
        <f>IFERROR(IF(C12="","Cidade não foi inserida",IF(F12=0,0,VLOOKUP(C12,'BD - Valor Lavanderia Por Item'!A:R,2,FALSE))),"Cidade não encontrada")</f>
        <v>2.7519999999999998</v>
      </c>
      <c r="I12" s="42">
        <f>IFERROR(IF(AND('TaxaLimpeza (Proposta)'!$A12&lt;&gt;"", COUNTIF('Configuração-Imóvel'!$A:$A, $A12)&gt;0), H12*G12*F12,"ID não encontrado"),H12)</f>
        <v>0.66047999999999996</v>
      </c>
      <c r="J12" s="43">
        <f>IFERROR(IF(A12="",0,VLOOKUP(A12,'Estoque-Imóvel'!A:AC,7,FALSE)),"ID não encontrado")</f>
        <v>1</v>
      </c>
      <c r="K12" s="40">
        <f>IF(J12=0,0,IF(J12="ID não encontrado",0,IFERROR(VLOOKUP($J$2,'BD - Itens x Peso'!$A:$B,2,FALSE),"Nome ou Peso não encontrado")))</f>
        <v>0.16</v>
      </c>
      <c r="L12" s="41">
        <f>IFERROR(IF(C12="","Cidade não foi inserida",IF(J12=0,0,VLOOKUP(C12,'BD - Valor Lavanderia Por Item'!A:R,3,FALSE))),"Cidade não encontrada")</f>
        <v>3.5345</v>
      </c>
      <c r="M12" s="41">
        <f>IFERROR(IF(AND('TaxaLimpeza (Proposta)'!$A12&lt;&gt;"", COUNTIF('Configuração-Imóvel'!$A:$A, $A12)&gt;0), L12*K12*J12,"ID não encontrado"),Tabela1[[#This Row],[Valor por lavanderia '[R$/Kg']4]])</f>
        <v>0.56552000000000002</v>
      </c>
      <c r="N12" s="44">
        <f>IFERROR(IF(A12="",0,VLOOKUP(A12,'Estoque-Imóvel'!A:AC,8,FALSE)),"ID não encontrado")</f>
        <v>0</v>
      </c>
      <c r="O12" s="40">
        <f>IF(N12=0,0,IF(N12="ID não encontrado",0,IFERROR(VLOOKUP($N$2,'BD - Itens x Peso'!$A:$B,2,FALSE),"Nome ou Peso não encontrado")))</f>
        <v>0</v>
      </c>
      <c r="P12" s="42">
        <f>IFERROR(IF(C12="","Cidade não foi inserida",IF(N12=0,0,VLOOKUP(C12,'BD - Valor Lavanderia Por Item'!A:R,2,FALSE))),"Cidade não encontrada")</f>
        <v>0</v>
      </c>
      <c r="Q12" s="42">
        <f>IFERROR(IF(AND('TaxaLimpeza (Proposta)'!$A12&lt;&gt;"", COUNTIF('Configuração-Imóvel'!$A:$A, $A12)&gt;0), P12*O12*N12,"ID não encontrado"),Tabela1[[#This Row],[Valor por lavanderia '[R$/Kg']8]])</f>
        <v>0</v>
      </c>
      <c r="R12" s="44">
        <f>IFERROR(IF(A12="",0,VLOOKUP(A12,'Estoque-Imóvel'!A:AC,9,FALSE)),"ID não encontrado")</f>
        <v>3</v>
      </c>
      <c r="S12" s="40">
        <f>IF(R12=0,0,IF(R12="ID não encontrado",0,IFERROR(VLOOKUP($R$2,'BD - Itens x Peso'!$A:$B,2,FALSE),"Nome ou Peso não encontrado")))</f>
        <v>0.39</v>
      </c>
      <c r="T12" s="42">
        <f>IFERROR(IF(C12="","Cidade não foi inserida",IF(R12=0,0,VLOOKUP(C12,'BD - Valor Lavanderia Por Item'!A:R,4,FALSE))),"Cidade não encontrada")</f>
        <v>4.7865000000000002</v>
      </c>
      <c r="U12" s="42">
        <f>IFERROR(IF(AND('TaxaLimpeza (Proposta)'!$A12&lt;&gt;"", COUNTIF('Configuração-Imóvel'!$A:$A, $A12)&gt;0), T12*S12*R12,"ID não encontrado"),Tabela1[[#This Row],[Valor por lavanderia '[R$/Kg']12]])</f>
        <v>5.6002049999999999</v>
      </c>
      <c r="V12" s="44">
        <f>IFERROR(IF(A12="",0,VLOOKUP(A12,'Estoque-Imóvel'!A:AC,10,FALSE)),"ID não encontrado")</f>
        <v>0</v>
      </c>
      <c r="W12" s="40">
        <f>IF(V12=0,0,IF(V12="ID não encontrado",0,IFERROR(VLOOKUP($V$2,'BD - Itens x Peso'!$A:$B,2,FALSE),"Nome ou Peso não encontrado")))</f>
        <v>0</v>
      </c>
      <c r="X12" s="42">
        <f>IFERROR(IF(C12="","Cidade não foi inserida",IF(V12=0,0,VLOOKUP(C12,'BD - Valor Lavanderia Por Item'!A:R,3,FALSE))),"Cidade não encontrada")</f>
        <v>0</v>
      </c>
      <c r="Y12" s="42">
        <f>IFERROR(IF(AND('TaxaLimpeza (Proposta)'!$A12&lt;&gt;"", COUNTIF('Configuração-Imóvel'!$A:$A, $A12)&gt;0), X12*W12*V12,"ID não encontrado"),Tabela1[[#This Row],[Valor por lavanderia '[R$/Kg']16]])</f>
        <v>0</v>
      </c>
      <c r="Z12" s="44">
        <f>IFERROR(IF(A12="",0,VLOOKUP(A12,'Estoque-Imóvel'!A:AC,11,FALSE)),"ID não encontrado")</f>
        <v>0</v>
      </c>
      <c r="AA12" s="40">
        <f>IF(Z12=0,0,IF(Z12="ID não encontrado",0,IFERROR(VLOOKUP($Z$2,'BD - Itens x Peso'!$A:$B,2,FALSE),"Nome ou Peso não encontrado")))</f>
        <v>0</v>
      </c>
      <c r="AB12" s="42">
        <f>IFERROR(IF(C12="","Cidade não foi inserida",IF(Z12=0,0,VLOOKUP(C12,'BD - Valor Lavanderia Por Item'!A:R,3,FALSE))),"Cidade não encontrada")</f>
        <v>0</v>
      </c>
      <c r="AC12" s="42">
        <f>IFERROR(IF(AND('TaxaLimpeza (Proposta)'!$A12&lt;&gt;"", COUNTIF('Configuração-Imóvel'!$A:$A, $A12)&gt;0), AB12*AA12*Z12,"ID não encontrado"),Tabela1[[#This Row],[Valor por lavanderia '[R$/Kg']20]])</f>
        <v>0</v>
      </c>
      <c r="AD12" s="44">
        <f>IFERROR(IF(A12="",0,VLOOKUP(A12,'Estoque-Imóvel'!A:AC,12,FALSE)),"ID não encontrado")</f>
        <v>1</v>
      </c>
      <c r="AE12" s="40">
        <f>IF(AD12=0,0,IF(AD12="ID não encontrado",0,IFERROR(VLOOKUP($AD$2,'BD - Itens x Peso'!$A:$B,2,FALSE),"Nome ou Peso não encontrado")))</f>
        <v>1.01</v>
      </c>
      <c r="AF12" s="42">
        <f>IFERROR(IF(C12="","Cidade não foi inserida",IF(AD12=0,0,VLOOKUP(C12,'BD - Valor Lavanderia Por Item'!A:R,9,FALSE))),"Cidade não encontrada")</f>
        <v>9.3249999999999993</v>
      </c>
      <c r="AG12" s="42">
        <f>IFERROR(IF(AND('TaxaLimpeza (Proposta)'!$A12&lt;&gt;"", COUNTIF('Configuração-Imóvel'!$A:$A, $A12)&gt;0), AF12*AE12*AD12,"ID não encontrado"),Tabela1[[#This Row],[Valor por lavanderia '[R$/Kg']24]])</f>
        <v>9.4182499999999987</v>
      </c>
      <c r="AH12" s="44">
        <f>IFERROR(IF(A12="",0,VLOOKUP(A12,'Estoque-Imóvel'!A:AC,13,FALSE)),"ID não encontrado")</f>
        <v>2</v>
      </c>
      <c r="AI12" s="40">
        <f>IF(AH12=0,0,IF(AH12="ID não encontrado",0,IFERROR(VLOOKUP($AH$2,'BD - Itens x Peso'!$A:$B,2,FALSE),"Nome ou Peso não encontrado")))</f>
        <v>0.3</v>
      </c>
      <c r="AJ12" s="42">
        <f>IFERROR(IF(C12="","Cidade não foi inserida",IF(AH12=0,0,VLOOKUP(C12,'BD - Valor Lavanderia Por Item'!A:R,6,FALSE))),"Cidade não encontrada")</f>
        <v>6.1950000000000003</v>
      </c>
      <c r="AK12" s="42">
        <f>IFERROR(IF(AND('TaxaLimpeza (Proposta)'!$A12&lt;&gt;"", COUNTIF('Configuração-Imóvel'!$A:$A, $A12)&gt;0), AJ12*AI12*AH12,"ID não encontrado"),Tabela1[[#This Row],[Valor por lavanderia '[R$/Kg']28]])</f>
        <v>3.7170000000000001</v>
      </c>
      <c r="AL12" s="44">
        <f>IFERROR(IF(A12="",0,VLOOKUP(A12,'Estoque-Imóvel'!A:AC,14,FALSE)),"ID não encontrado")</f>
        <v>2</v>
      </c>
      <c r="AM12" s="40">
        <f>IF(AL12=0,0,IF(AL12="ID não encontrado",0,IFERROR(VLOOKUP($AL$2,'BD - Itens x Peso'!$A:$B,2,FALSE),"Nome ou Peso não encontrado")))</f>
        <v>0.3</v>
      </c>
      <c r="AN12" s="42">
        <f>IFERROR(IF(C12="","Cidade não foi inserida",IF(AL12=0,0,VLOOKUP(C12,'BD - Valor Lavanderia Por Item'!A:R,8,FALSE))),"Cidade não encontrada")</f>
        <v>8.5425000000000004</v>
      </c>
      <c r="AO12" s="42">
        <f>IFERROR(IF(AND('TaxaLimpeza (Proposta)'!$A12&lt;&gt;"", COUNTIF('Configuração-Imóvel'!$A:$A, $A12)&gt;0), AN12*AM12*AL12,"ID não encontrado"),Tabela1[[#This Row],[Valor por lavanderia '[R$/Kg']32]])</f>
        <v>5.1254999999999997</v>
      </c>
      <c r="AP12" s="44">
        <f>IFERROR(IF(A12="",0,VLOOKUP(A12,'Estoque-Imóvel'!A:AC,15,FALSE)),"ID não encontrado")</f>
        <v>0</v>
      </c>
      <c r="AQ12" s="40">
        <f>IF(AP12=0,0,IF(AP12="ID não encontrado",0,IFERROR(VLOOKUP($AP$2,'BD - Itens x Peso'!$A:$B,2,FALSE),"Nome ou Peso não encontrado")))</f>
        <v>0</v>
      </c>
      <c r="AR12" s="42">
        <f>IFERROR(IF(C12="","Cidade não foi inserida",IF(AP12=0,0,VLOOKUP(C12,'BD - Valor Lavanderia Por Item'!A:R,8,FALSE))),"Cidade não encontrada")</f>
        <v>0</v>
      </c>
      <c r="AS12" s="42">
        <f>IFERROR(IF(AND('TaxaLimpeza (Proposta)'!$A12&lt;&gt;"", COUNTIF('Configuração-Imóvel'!$A:$A, $A12)&gt;0), AR12*AQ12*AP12,"ID não encontrado"),Tabela1[[#This Row],[Valor por lavanderia '[R$/Kg']36]])</f>
        <v>0</v>
      </c>
      <c r="AT12" s="44">
        <f>IFERROR(IF(A12="",0,VLOOKUP(A12,'Estoque-Imóvel'!A:AC,16,FALSE)),"ID não encontrado")</f>
        <v>0</v>
      </c>
      <c r="AU12" s="40">
        <f>IF(AT12=0,0,IF(AT12="ID não encontrado",0,IFERROR(VLOOKUP($AT$2,'BD - Itens x Peso'!$A:$B,2,FALSE),"Nome ou Peso não encontrado")))</f>
        <v>0</v>
      </c>
      <c r="AV12" s="42">
        <f>IFERROR(IF(C12="","Cidade não foi inserida",IF(AT12=0,0,VLOOKUP(C12,'BD - Valor Lavanderia Por Item'!A:R,7,FALSE))),"Cidade não encontrada")</f>
        <v>0</v>
      </c>
      <c r="AW12" s="42">
        <f>IFERROR(IF(AND('TaxaLimpeza (Proposta)'!$A12&lt;&gt;"", COUNTIF('Configuração-Imóvel'!$A:$A, $A12)&gt;0), AV12*AU12*AT12,"ID não encontrado"),Tabela1[[#This Row],[Valor por lavanderia '[R$/Kg']40]])</f>
        <v>0</v>
      </c>
      <c r="AX12" s="44">
        <f>IFERROR(IF(A12="",0,VLOOKUP(A12,'Estoque-Imóvel'!A:AC,17,FALSE)),"Code não encontrado")</f>
        <v>3</v>
      </c>
      <c r="AY12" s="40">
        <f>IF(AX12=0,0,IF(AX12="ID não encontrado",0,IFERROR(VLOOKUP($AX$2,'BD - Itens x Peso'!$A:$B,2,FALSE),"Nome ou Peso não encontrado")))</f>
        <v>0.19</v>
      </c>
      <c r="AZ12" s="42">
        <f>IFERROR(IF(C12="","Cidade não foi inserida",IF(AX12=0,0,VLOOKUP(C12,'BD - Valor Lavanderia Por Item'!A:R,5,FALSE))),"Cidade não encontrada")</f>
        <v>3.0649999999999999</v>
      </c>
      <c r="BA12" s="42">
        <f>IFERROR(IF(AND('TaxaLimpeza (Proposta)'!$A12&lt;&gt;"", COUNTIF('Configuração-Imóvel'!$A:$A, $A12)&gt;0), AZ12*AY12*AX12,"ID não encontrado"),Tabela1[[#This Row],[Valor por lavanderia '[R$/Kg']44]])</f>
        <v>1.7470500000000002</v>
      </c>
      <c r="BB12" s="44">
        <f>IFERROR(IF(A12="",0,VLOOKUP(A12,'Estoque-Imóvel'!A:AC,18,FALSE)),"ID não encontrado")</f>
        <v>0</v>
      </c>
      <c r="BC12" s="40">
        <f>IF(BB12=0,0,IF(BB12="ID não encontrado",0,IFERROR(VLOOKUP($BB$2,'BD - Itens x Peso'!$A:$B,2,FALSE),"Nome ou Peso não encontrado")))</f>
        <v>0</v>
      </c>
      <c r="BD12" s="42">
        <f>IFERROR(IF(C12="","Cidade não foi inserida",IF(BB12=0,0,VLOOKUP(C12,'BD - Valor Lavanderia Por Item'!A:R,11,FALSE))),"Cidade não encontrada")</f>
        <v>0</v>
      </c>
      <c r="BE12" s="42">
        <f>IFERROR(IF(AND('TaxaLimpeza (Proposta)'!$A12&lt;&gt;"", COUNTIF('Configuração-Imóvel'!$A:$A, $A12)&gt;0), BD12*BC12*BB12,"ID não encontrado"),Tabela1[[#This Row],[Valor por lavanderia '[R$/Kg']48]])</f>
        <v>0</v>
      </c>
      <c r="BF12" s="44">
        <f>IFERROR(IF(A12="",0,VLOOKUP(A12,'Estoque-Imóvel'!A:AC,19,FALSE)),"ID não encontrado")</f>
        <v>1</v>
      </c>
      <c r="BG12" s="40">
        <f>IF(BF12=0,0,IF(BF12="ID não encontrado",0,IFERROR(VLOOKUP($BF$2,'BD - Itens x Peso'!$A:$B,2,FALSE),"Nome ou Peso não encontrado")))</f>
        <v>2.62</v>
      </c>
      <c r="BH12" s="42">
        <f>IFERROR(IF(C12="","Cidade não foi inserida",IF(BF12=0,0,VLOOKUP(C12,'BD - Valor Lavanderia Por Item'!A:R,13,FALSE))),"Cidade não encontrada")</f>
        <v>41.7575</v>
      </c>
      <c r="BI12" s="42">
        <f>IFERROR(IF(AND('TaxaLimpeza (Proposta)'!$A12&lt;&gt;"", COUNTIF('Configuração-Imóvel'!$A:$A, $A12)&gt;0), BH12*BG12*BF12,"ID não encontrado"),Tabela1[[#This Row],[Valor por lavanderia '[R$/Kg']52]])</f>
        <v>109.40465</v>
      </c>
      <c r="BJ12" s="44">
        <f>IFERROR(IF(A12="",0,VLOOKUP(A12,'Estoque-Imóvel'!A:AC,20,FALSE)),"ID não encontrado")</f>
        <v>0</v>
      </c>
      <c r="BK12" s="40">
        <f>IF(BJ12=0,0,IF(BJ12="ID não encontrado",0,IFERROR(VLOOKUP($BJ$2,'BD - Itens x Peso'!$A:$B,2,FALSE),"Nome ou Peso não encontrado")))</f>
        <v>0</v>
      </c>
      <c r="BL12" s="42">
        <f>IFERROR(IF(C12="","Cidade não foi inserida",IF(BJ12=0,0,VLOOKUP(C12,'BD - Valor Lavanderia Por Item'!A:R,13,FALSE))),"Cidade não encontrada")</f>
        <v>0</v>
      </c>
      <c r="BM12" s="42">
        <f>IFERROR(IF(AND('TaxaLimpeza (Proposta)'!$A12&lt;&gt;"", COUNTIF('Configuração-Imóvel'!$A:$A, $A12)&gt;0), BL12*BK12*BJ12,"ID não encontrado"),Tabela1[[#This Row],[Valor por lavanderia '[R$/Kg']56]])</f>
        <v>0</v>
      </c>
      <c r="BN12" s="44">
        <f>IFERROR(IF(A12="",0,VLOOKUP(A12,'Estoque-Imóvel'!A:AC,21,FALSE)),"ID não encontrado")</f>
        <v>0</v>
      </c>
      <c r="BO12" s="40">
        <f>IF(BN12=0,0,IF(BN12="ID não encontrado",0,IFERROR(VLOOKUP($BN$2,'BD - Itens x Peso'!$A:$B,2,FALSE),"Nome ou Peso não encontrado")))</f>
        <v>0</v>
      </c>
      <c r="BP12" s="42">
        <f>IFERROR(IF(C12="","Cidade não foi inserida",IF(BN12=0,0,VLOOKUP(C12,'BD - Valor Lavanderia Por Item'!A:R,13,FALSE))),"Cidade não encontrada")</f>
        <v>0</v>
      </c>
      <c r="BQ12" s="42">
        <f>IFERROR(IF(AND('TaxaLimpeza (Proposta)'!$A12&lt;&gt;"", COUNTIF('Configuração-Imóvel'!$A:$A, $A12)&gt;0), BP12*BO12*BN12,"ID não encontrado"),Tabela1[[#This Row],[Valor por lavanderia '[R$/Kg']60]])</f>
        <v>0</v>
      </c>
      <c r="BR12" s="44">
        <f>IFERROR(IF(A12="",0,VLOOKUP(A12,'Estoque-Imóvel'!A:AC,22,FALSE)),"ID não encontrado")</f>
        <v>0</v>
      </c>
      <c r="BS12" s="40">
        <f>IF(BR12=0,0,IF(BR12="ID não encontrado",0,IFERROR(VLOOKUP($BR$2,'BD - Itens x Peso'!$A:$B,2,FALSE),"Nome ou Peso não encontrado. Utilizado o Edredom Solteiro como referência")))</f>
        <v>0</v>
      </c>
      <c r="BT12" s="42">
        <f>IFERROR(IF(C12="","Cidade não foi inserida",IF(BR12=0,0,VLOOKUP(C12,'BD - Valor Lavanderia Por Item'!A:R,11,FALSE))),"Cidade não encontrada")</f>
        <v>0</v>
      </c>
      <c r="BU12" s="42">
        <f>IFERROR(IF(AND('TaxaLimpeza (Proposta)'!$A12&lt;&gt;"", COUNTIF('Configuração-Imóvel'!$A:$A, $A12)&gt;0), BT12*BS12*BR12,"ID não encontrado"),BT12*VLOOKUP($BB$2,'BD - Itens x Peso'!$A:$B,2,FALSE)*BR12)</f>
        <v>0</v>
      </c>
      <c r="BV12" s="44">
        <f>IFERROR(IF(A12="",0,VLOOKUP(A12,'Estoque-Imóvel'!A:AC,23,FALSE)),"ID não encontrado")</f>
        <v>0</v>
      </c>
      <c r="BW12" s="40">
        <f>IF(BV12=0,0,IF(BV12="ID não encontrado",0,IFERROR(VLOOKUP($BV$2,'BD - Itens x Peso'!$A:$B,2,FALSE),"Nome ou Peso não encontrado. Utilizado o Edredom Queen Size como referência")))</f>
        <v>0</v>
      </c>
      <c r="BX12" s="42">
        <f>IFERROR(IF(C12="","Cidade não foi inserida",IF(BV12=0,0,VLOOKUP(C12,'BD - Valor Lavanderia Por Item'!A:R,13,FALSE))),"Cidade não encontrada")</f>
        <v>0</v>
      </c>
      <c r="BY12" s="42">
        <f>IFERROR(IF(AND('TaxaLimpeza (Proposta)'!$A12&lt;&gt;"",COUNTIF('Configuração-Imóvel'!$A:$A,$A12)&gt;0),BX12*BW12*BV12,"ID não encontrado"),BX12*(VLOOKUP($BF$2,'BD - Itens x Peso'!$A:$B,2,FALSE)*BV12))</f>
        <v>0</v>
      </c>
      <c r="BZ12" s="44">
        <f>IFERROR(IF(A12="",0,VLOOKUP(A12,'Estoque-Imóvel'!A:AC,24,FALSE)),"ID não encontrado")</f>
        <v>0</v>
      </c>
      <c r="CA12" s="40">
        <f>IF(BZ12=0,0,IF(BZ12="ID não encontrado",0,IFERROR(VLOOKUP($BZ$2,'BD - Itens x Peso'!$A:$B,2,FALSE),"Nome ou Peso não encontrado. Utilizado o peso do Edredom Casal como referência")))</f>
        <v>0</v>
      </c>
      <c r="CB12" s="42">
        <f>IFERROR(IF(C12="","Cidade não foi inserida",IF(BZ12=0,0,VLOOKUP(C12,'BD - Valor Lavanderia Por Item'!A:R,12,FALSE))),"Cidade não encontrada")</f>
        <v>0</v>
      </c>
      <c r="CC12" s="42">
        <f>IFERROR(IF(AND('TaxaLimpeza (Proposta)'!$A12&lt;&gt;"", COUNTIF('Configuração-Imóvel'!$A:$A, $A12)&gt;0), CB12*CA12*BZ12,"ID não encontrado"),VLOOKUP($BN$2,'BD - Itens x Peso'!$A:$B,2,FALSE)*CB12*BZ12)</f>
        <v>0</v>
      </c>
      <c r="CD12" s="44">
        <f>IFERROR(IF(A12="",0,VLOOKUP(A12,'Estoque-Imóvel'!A:AC,25,FALSE)),"ID não encontrado")</f>
        <v>0</v>
      </c>
      <c r="CE12" s="40">
        <f>IF(CD12=0,0,IF(CD12="ID não encontrado",0,IFERROR(VLOOKUP($CD$2,'BD - Itens x Peso'!$A:$B,2,FALSE),"Nome ou Peso não encontrado. Utilizado o Edredom Queen Size como referência")))</f>
        <v>0</v>
      </c>
      <c r="CF12" s="42">
        <f>IFERROR(IF(C12="","Cidade não foi inserida",IF(CD12=0,0,VLOOKUP(C12,'BD - Valor Lavanderia Por Item'!A:R,13,FALSE))),"Cidade não encontrada")</f>
        <v>0</v>
      </c>
      <c r="CG12" s="42">
        <f>IFERROR(IF(AND('TaxaLimpeza (Proposta)'!$A12&lt;&gt;"", COUNTIF('Configuração-Imóvel'!$A:$A, $A12)&gt;0), CF12*CE12*CD12,"ID não encontrado"),VLOOKUP($BF$2,'BD - Itens x Peso'!$A:$B,2,FALSE)*CF12*CD12)</f>
        <v>0</v>
      </c>
      <c r="CH12" s="44">
        <f>IFERROR(IF(A12="",0,VLOOKUP(A12,'Estoque-Imóvel'!A:AC,26,FALSE)),"ID não encontrado")</f>
        <v>0</v>
      </c>
      <c r="CI12" s="40">
        <f>IF(CH12=0,0,IF(CH12="ID não encontrado",0,IFERROR(VLOOKUP($CH$2,'BD - Itens x Peso'!$A:$B,2,FALSE),"Nome ou Peso não encontrado")))</f>
        <v>0</v>
      </c>
      <c r="CJ12" s="42">
        <f>IFERROR(IF(C12="","Cidade não foi inserida",IF(CH12=0,0,VLOOKUP(C12,'BD - Valor Lavanderia Por Item'!A:R,15,FALSE))),"Cidade não encontrada")</f>
        <v>0</v>
      </c>
      <c r="CK12" s="42">
        <f>IFERROR(IF(AND('TaxaLimpeza (Proposta)'!$A12&lt;&gt;"", COUNTIF('Configuração-Imóvel'!$A:$A, $A12)&gt;0), CJ12*CI12*CH12,"ID não encontrado"),Tabela1[[#This Row],[Valor por lavanderia '[R$/Kg']80]])</f>
        <v>0</v>
      </c>
      <c r="CL12" s="44">
        <f>IFERROR(IF(A12="",0,VLOOKUP(A12,'Estoque-Imóvel'!A:AC,27,FALSE)),"ID não encontrado")</f>
        <v>1</v>
      </c>
      <c r="CM12" s="40">
        <f>IF(CL12=0,0,IF(CL12="ID não encontrado",0,IFERROR(VLOOKUP($CL$2,'BD - Itens x Peso'!$A:$B,2,FALSE),"Nome ou Peso não encontrado")))</f>
        <v>1.56</v>
      </c>
      <c r="CN12" s="42">
        <f>IFERROR(IF(C12="","Cidade não foi inserida",IF(CL12=0,0,VLOOKUP(C12,'BD - Valor Lavanderia Por Item'!A:R,17,FALSE))),"Cidade não encontrada")</f>
        <v>16.457000000000001</v>
      </c>
      <c r="CO12" s="42">
        <f>IFERROR(IF(AND('TaxaLimpeza (Proposta)'!$A12&lt;&gt;"", COUNTIF('Configuração-Imóvel'!$A:$A, $A12)&gt;0), CN12*CM12*CL12,"ID não encontrado"),Tabela1[[#This Row],[Valor por lavanderia '[R$/Kg']84]])</f>
        <v>25.672920000000001</v>
      </c>
      <c r="CP12" s="44">
        <f>IFERROR(IF(A12="",0,VLOOKUP(A12,'Estoque-Imóvel'!A:AC,28,FALSE)),"ID não encontrado")</f>
        <v>0</v>
      </c>
      <c r="CQ12" s="40">
        <f>IF(CP12=0,0,IF(CP12="ID não encontrado",0,IFERROR(VLOOKUP($CP$2,'BD - Itens x Peso'!$A:$B,2,FALSE),"Nome ou Peso não encontrado")))</f>
        <v>0</v>
      </c>
      <c r="CR12" s="42">
        <f>IFERROR(IF(C12="","Cidade não foi inserida",IF(CP12=0,0,VLOOKUP(C12,'BD - Valor Lavanderia Por Item'!A:R,18,FALSE))),"Cidade não encontrada")</f>
        <v>0</v>
      </c>
      <c r="CS12" s="42">
        <f>IFERROR(IF(AND('TaxaLimpeza (Proposta)'!$A12&lt;&gt;"", COUNTIF('Configuração-Imóvel'!$A:$A, $A12)&gt;0), CR12*CQ12*CP12,"ID não encontrado"),Tabela1[[#This Row],[Valor por lavanderia '[R$/Kg']3]])</f>
        <v>0</v>
      </c>
      <c r="CT12" s="44">
        <f>IFERROR(IF(A12="",0,VLOOKUP(A12,'Estoque-Imóvel'!A:AC,29,FALSE)),"ID não encontrado")</f>
        <v>0</v>
      </c>
      <c r="CU12" s="40">
        <f>IF(CT12=0,0,IF(CT12="ID não encontrado",0,IFERROR(VLOOKUP($CT$2,'BD - Itens x Peso'!$A:$B,2,FALSE),"Nome ou Peso não encontrado")))</f>
        <v>0</v>
      </c>
      <c r="CV12" s="42">
        <f>IFERROR(IF(C12="","Cidade não foi inserida",IF(CT12=0,0,VLOOKUP(C12,'BD - Valor Lavanderia Por Item'!A:R,16,FALSE))),"Cidade não encontrada")</f>
        <v>0</v>
      </c>
      <c r="CW12" s="45">
        <f>IFERROR(IF(AND('TaxaLimpeza (Proposta)'!$A12&lt;&gt;"", COUNTIF('Configuração-Imóvel'!$A:$A, $A12)&gt;0), CV12*CU12*CT12,"ID não encontrado"),Tabela1[[#This Row],[Valor por lavanderia '[R$/Kg']2]])</f>
        <v>0</v>
      </c>
      <c r="CX12" s="34">
        <f t="shared" si="1"/>
        <v>161.911575</v>
      </c>
      <c r="CY12" s="68">
        <f>IFERROR(IF(A12="","",(VLOOKUP(A12,'Configuração-Imóvel'!$A$2:$R$21,16,FALSE)+VLOOKUP(A12,'Configuração-Imóvel'!$A$2:$R$21,17,FALSE))*VLOOKUP($CY$3,'BD - Amenities'!$B$2:$E$7,4,FALSE)),"ID não encontrado")</f>
        <v>0.5</v>
      </c>
      <c r="CZ12" s="69">
        <f>IFERROR(IF(A12="","",(VLOOKUP(A12,'Configuração-Imóvel'!$A$2:$R$21,16,FALSE)+VLOOKUP(A12,'Configuração-Imóvel'!$A$2:$R$21,17,FALSE))*VLOOKUP($CZ$3,'BD - Amenities'!$B$2:$E$7,4,FALSE)),"ID não encontrado")</f>
        <v>4</v>
      </c>
      <c r="DA12" s="69">
        <f>IFERROR(IF(A12="","",VLOOKUP(A12,'Configuração-Imóvel'!$A$2:$R$21,16,FALSE)*VLOOKUP($DA$3,'BD - Amenities'!$B$2:$E$7,4,FALSE)),"ID não encontrado")</f>
        <v>1.5</v>
      </c>
      <c r="DB12" s="69">
        <f>IFERROR(IF(A12="","",VLOOKUP(A12,'Configuração-Imóvel'!$A$2:$R$21,16,FALSE)*VLOOKUP($DB$3,'BD - Amenities'!$B$2:$E$7,4,FALSE)),"ID não encontrado")</f>
        <v>1.5</v>
      </c>
      <c r="DC12" s="35">
        <f t="shared" si="2"/>
        <v>7.5</v>
      </c>
      <c r="DD12" s="37">
        <f>IFERROR(IF(A12="","",VLOOKUP($DD$3,'BD - Material de Limpeza'!$A:$D,4,FALSE)),"ID não encontrado")</f>
        <v>2</v>
      </c>
      <c r="DE12" s="38">
        <f>IFERROR(IF(A12="","",VLOOKUP($DE$3,'BD - Material de Limpeza'!$A:$D,4,FALSE)),"ID não encontrado")</f>
        <v>2</v>
      </c>
      <c r="DF12" s="38">
        <f>IFERROR(IF(A12="","",VLOOKUP($DF$3,'BD - Material de Limpeza'!$A:$D,4,FALSE)),"ID não encontrado")</f>
        <v>1</v>
      </c>
      <c r="DG12" s="38">
        <f>IFERROR(IF(A12="","",VLOOKUP($DG$3,'BD - Material de Limpeza'!$A:$D,4,FALSE)),"ID não encontrado")</f>
        <v>1</v>
      </c>
      <c r="DH12" s="38">
        <f>IFERROR(IF(A12="","",VLOOKUP($DH$3,'BD - Material de Limpeza'!$A:$D,4,FALSE)),"ID não encontrado")</f>
        <v>1</v>
      </c>
      <c r="DI12" s="38">
        <f>IFERROR(IF(A12="","",VLOOKUP($DI$3,'BD - Material de Limpeza'!$A:$D,4,FALSE)),"ID não encontrado")</f>
        <v>1</v>
      </c>
      <c r="DJ12" s="38">
        <f>IFERROR(IF(A12="","",VLOOKUP($DJ$3,'BD - Material de Limpeza'!$A:$D,4,FALSE)),"ID não encontrado")</f>
        <v>1</v>
      </c>
      <c r="DK12" s="36">
        <f t="shared" si="0"/>
        <v>9</v>
      </c>
      <c r="DL12" s="72" cm="1">
        <f t="array" ref="DL12">IFERROR(IF('TaxaLimpeza (Proposta)'!$A12="","",INDEX('BD - Valor Limpeza Diarista'!B:B,INDEX('Configuração-Imóvel'!O:O,MATCH(A12,'Configuração-Imóvel'!A:A,0))+1,0)),"ID não encontrado")</f>
        <v>220</v>
      </c>
      <c r="DM12" s="67">
        <f t="shared" si="3"/>
        <v>438.25273249999998</v>
      </c>
      <c r="DN12" s="23" t="s">
        <v>183</v>
      </c>
      <c r="DP12" s="74"/>
    </row>
    <row r="13" spans="1:120" ht="15.75" customHeight="1">
      <c r="A13" s="65" t="s">
        <v>17</v>
      </c>
      <c r="B13" s="32" t="s">
        <v>154</v>
      </c>
      <c r="C13" s="32" t="s">
        <v>95</v>
      </c>
      <c r="D13" s="32" t="s">
        <v>155</v>
      </c>
      <c r="E13" s="33" t="s">
        <v>201</v>
      </c>
      <c r="F13" s="39">
        <f>IFERROR(IF(A13="",0,VLOOKUP(A13,'Estoque-Imóvel'!A:AC,6,FALSE)),"ID não encontrado")</f>
        <v>1</v>
      </c>
      <c r="G13" s="40">
        <f>IF(F13=0,0,IF(F13="ID não encontrado",0,IFERROR(VLOOKUP($F$2,'BD - Itens x Peso'!$A:$B,2,FALSE),"Nome ou Peso não encontrado")))</f>
        <v>0.24</v>
      </c>
      <c r="H13" s="41">
        <f>IFERROR(IF(C13="","Cidade não foi inserida",IF(F13=0,0,VLOOKUP(C13,'BD - Valor Lavanderia Por Item'!A:R,2,FALSE))),"Cidade não encontrada")</f>
        <v>2.7519999999999998</v>
      </c>
      <c r="I13" s="42">
        <f>IFERROR(IF(AND('TaxaLimpeza (Proposta)'!$A13&lt;&gt;"", COUNTIF('Configuração-Imóvel'!$A:$A, $A13)&gt;0), H13*G13*F13,"ID não encontrado"),H13)</f>
        <v>0.66047999999999996</v>
      </c>
      <c r="J13" s="43">
        <f>IFERROR(IF(A13="",0,VLOOKUP(A13,'Estoque-Imóvel'!A:AC,7,FALSE)),"ID não encontrado")</f>
        <v>1</v>
      </c>
      <c r="K13" s="40">
        <f>IF(J13=0,0,IF(J13="ID não encontrado",0,IFERROR(VLOOKUP($J$2,'BD - Itens x Peso'!$A:$B,2,FALSE),"Nome ou Peso não encontrado")))</f>
        <v>0.16</v>
      </c>
      <c r="L13" s="41">
        <f>IFERROR(IF(C13="","Cidade não foi inserida",IF(J13=0,0,VLOOKUP(C13,'BD - Valor Lavanderia Por Item'!A:R,3,FALSE))),"Cidade não encontrada")</f>
        <v>3.5345</v>
      </c>
      <c r="M13" s="41">
        <f>IFERROR(IF(AND('TaxaLimpeza (Proposta)'!$A13&lt;&gt;"", COUNTIF('Configuração-Imóvel'!$A:$A, $A13)&gt;0), L13*K13*J13,"ID não encontrado"),Tabela1[[#This Row],[Valor por lavanderia '[R$/Kg']4]])</f>
        <v>0.56552000000000002</v>
      </c>
      <c r="N13" s="44">
        <f>IFERROR(IF(A13="",0,VLOOKUP(A13,'Estoque-Imóvel'!A:AC,8,FALSE)),"ID não encontrado")</f>
        <v>0</v>
      </c>
      <c r="O13" s="40">
        <f>IF(N13=0,0,IF(N13="ID não encontrado",0,IFERROR(VLOOKUP($N$2,'BD - Itens x Peso'!$A:$B,2,FALSE),"Nome ou Peso não encontrado")))</f>
        <v>0</v>
      </c>
      <c r="P13" s="42">
        <f>IFERROR(IF(C13="","Cidade não foi inserida",IF(N13=0,0,VLOOKUP(C13,'BD - Valor Lavanderia Por Item'!A:R,2,FALSE))),"Cidade não encontrada")</f>
        <v>0</v>
      </c>
      <c r="Q13" s="42">
        <f>IFERROR(IF(AND('TaxaLimpeza (Proposta)'!$A13&lt;&gt;"", COUNTIF('Configuração-Imóvel'!$A:$A, $A13)&gt;0), P13*O13*N13,"ID não encontrado"),Tabela1[[#This Row],[Valor por lavanderia '[R$/Kg']8]])</f>
        <v>0</v>
      </c>
      <c r="R13" s="44">
        <f>IFERROR(IF(A13="",0,VLOOKUP(A13,'Estoque-Imóvel'!A:AC,9,FALSE)),"ID não encontrado")</f>
        <v>2</v>
      </c>
      <c r="S13" s="40">
        <f>IF(R13=0,0,IF(R13="ID não encontrado",0,IFERROR(VLOOKUP($R$2,'BD - Itens x Peso'!$A:$B,2,FALSE),"Nome ou Peso não encontrado")))</f>
        <v>0.39</v>
      </c>
      <c r="T13" s="42">
        <f>IFERROR(IF(C13="","Cidade não foi inserida",IF(R13=0,0,VLOOKUP(C13,'BD - Valor Lavanderia Por Item'!A:R,4,FALSE))),"Cidade não encontrada")</f>
        <v>4.7865000000000002</v>
      </c>
      <c r="U13" s="42">
        <f>IFERROR(IF(AND('TaxaLimpeza (Proposta)'!$A13&lt;&gt;"", COUNTIF('Configuração-Imóvel'!$A:$A, $A13)&gt;0), T13*S13*R13,"ID não encontrado"),Tabela1[[#This Row],[Valor por lavanderia '[R$/Kg']12]])</f>
        <v>3.7334700000000001</v>
      </c>
      <c r="V13" s="44">
        <f>IFERROR(IF(A13="",0,VLOOKUP(A13,'Estoque-Imóvel'!A:AC,10,FALSE)),"ID não encontrado")</f>
        <v>0</v>
      </c>
      <c r="W13" s="40">
        <f>IF(V13=0,0,IF(V13="ID não encontrado",0,IFERROR(VLOOKUP($V$2,'BD - Itens x Peso'!$A:$B,2,FALSE),"Nome ou Peso não encontrado")))</f>
        <v>0</v>
      </c>
      <c r="X13" s="42">
        <f>IFERROR(IF(C13="","Cidade não foi inserida",IF(V13=0,0,VLOOKUP(C13,'BD - Valor Lavanderia Por Item'!A:R,3,FALSE))),"Cidade não encontrada")</f>
        <v>0</v>
      </c>
      <c r="Y13" s="42">
        <f>IFERROR(IF(AND('TaxaLimpeza (Proposta)'!$A13&lt;&gt;"", COUNTIF('Configuração-Imóvel'!$A:$A, $A13)&gt;0), X13*W13*V13,"ID não encontrado"),Tabela1[[#This Row],[Valor por lavanderia '[R$/Kg']16]])</f>
        <v>0</v>
      </c>
      <c r="Z13" s="44">
        <f>IFERROR(IF(A13="",0,VLOOKUP(A13,'Estoque-Imóvel'!A:AC,11,FALSE)),"ID não encontrado")</f>
        <v>0</v>
      </c>
      <c r="AA13" s="40">
        <f>IF(Z13=0,0,IF(Z13="ID não encontrado",0,IFERROR(VLOOKUP($Z$2,'BD - Itens x Peso'!$A:$B,2,FALSE),"Nome ou Peso não encontrado")))</f>
        <v>0</v>
      </c>
      <c r="AB13" s="42">
        <f>IFERROR(IF(C13="","Cidade não foi inserida",IF(Z13=0,0,VLOOKUP(C13,'BD - Valor Lavanderia Por Item'!A:R,3,FALSE))),"Cidade não encontrada")</f>
        <v>0</v>
      </c>
      <c r="AC13" s="42">
        <f>IFERROR(IF(AND('TaxaLimpeza (Proposta)'!$A13&lt;&gt;"", COUNTIF('Configuração-Imóvel'!$A:$A, $A13)&gt;0), AB13*AA13*Z13,"ID não encontrado"),Tabela1[[#This Row],[Valor por lavanderia '[R$/Kg']20]])</f>
        <v>0</v>
      </c>
      <c r="AD13" s="44">
        <f>IFERROR(IF(A13="",0,VLOOKUP(A13,'Estoque-Imóvel'!A:AC,12,FALSE)),"ID não encontrado")</f>
        <v>1</v>
      </c>
      <c r="AE13" s="40">
        <f>IF(AD13=0,0,IF(AD13="ID não encontrado",0,IFERROR(VLOOKUP($AD$2,'BD - Itens x Peso'!$A:$B,2,FALSE),"Nome ou Peso não encontrado")))</f>
        <v>1.01</v>
      </c>
      <c r="AF13" s="42">
        <f>IFERROR(IF(C13="","Cidade não foi inserida",IF(AD13=0,0,VLOOKUP(C13,'BD - Valor Lavanderia Por Item'!A:R,9,FALSE))),"Cidade não encontrada")</f>
        <v>9.3249999999999993</v>
      </c>
      <c r="AG13" s="42">
        <f>IFERROR(IF(AND('TaxaLimpeza (Proposta)'!$A13&lt;&gt;"", COUNTIF('Configuração-Imóvel'!$A:$A, $A13)&gt;0), AF13*AE13*AD13,"ID não encontrado"),Tabela1[[#This Row],[Valor por lavanderia '[R$/Kg']24]])</f>
        <v>9.4182499999999987</v>
      </c>
      <c r="AH13" s="44">
        <f>IFERROR(IF(A13="",0,VLOOKUP(A13,'Estoque-Imóvel'!A:AC,13,FALSE)),"ID não encontrado")</f>
        <v>0</v>
      </c>
      <c r="AI13" s="40">
        <f>IF(AH13=0,0,IF(AH13="ID não encontrado",0,IFERROR(VLOOKUP($AH$2,'BD - Itens x Peso'!$A:$B,2,FALSE),"Nome ou Peso não encontrado")))</f>
        <v>0</v>
      </c>
      <c r="AJ13" s="42">
        <f>IFERROR(IF(C13="","Cidade não foi inserida",IF(AH13=0,0,VLOOKUP(C13,'BD - Valor Lavanderia Por Item'!A:R,6,FALSE))),"Cidade não encontrada")</f>
        <v>0</v>
      </c>
      <c r="AK13" s="42">
        <f>IFERROR(IF(AND('TaxaLimpeza (Proposta)'!$A13&lt;&gt;"", COUNTIF('Configuração-Imóvel'!$A:$A, $A13)&gt;0), AJ13*AI13*AH13,"ID não encontrado"),Tabela1[[#This Row],[Valor por lavanderia '[R$/Kg']28]])</f>
        <v>0</v>
      </c>
      <c r="AL13" s="44">
        <f>IFERROR(IF(A13="",0,VLOOKUP(A13,'Estoque-Imóvel'!A:AC,14,FALSE)),"ID não encontrado")</f>
        <v>0</v>
      </c>
      <c r="AM13" s="40">
        <f>IF(AL13=0,0,IF(AL13="ID não encontrado",0,IFERROR(VLOOKUP($AL$2,'BD - Itens x Peso'!$A:$B,2,FALSE),"Nome ou Peso não encontrado")))</f>
        <v>0</v>
      </c>
      <c r="AN13" s="42">
        <f>IFERROR(IF(C13="","Cidade não foi inserida",IF(AL13=0,0,VLOOKUP(C13,'BD - Valor Lavanderia Por Item'!A:R,8,FALSE))),"Cidade não encontrada")</f>
        <v>0</v>
      </c>
      <c r="AO13" s="42">
        <f>IFERROR(IF(AND('TaxaLimpeza (Proposta)'!$A13&lt;&gt;"", COUNTIF('Configuração-Imóvel'!$A:$A, $A13)&gt;0), AN13*AM13*AL13,"ID não encontrado"),Tabela1[[#This Row],[Valor por lavanderia '[R$/Kg']32]])</f>
        <v>0</v>
      </c>
      <c r="AP13" s="44">
        <f>IFERROR(IF(A13="",0,VLOOKUP(A13,'Estoque-Imóvel'!A:AC,15,FALSE)),"ID não encontrado")</f>
        <v>0</v>
      </c>
      <c r="AQ13" s="40">
        <f>IF(AP13=0,0,IF(AP13="ID não encontrado",0,IFERROR(VLOOKUP($AP$2,'BD - Itens x Peso'!$A:$B,2,FALSE),"Nome ou Peso não encontrado")))</f>
        <v>0</v>
      </c>
      <c r="AR13" s="42">
        <f>IFERROR(IF(C13="","Cidade não foi inserida",IF(AP13=0,0,VLOOKUP(C13,'BD - Valor Lavanderia Por Item'!A:R,8,FALSE))),"Cidade não encontrada")</f>
        <v>0</v>
      </c>
      <c r="AS13" s="42">
        <f>IFERROR(IF(AND('TaxaLimpeza (Proposta)'!$A13&lt;&gt;"", COUNTIF('Configuração-Imóvel'!$A:$A, $A13)&gt;0), AR13*AQ13*AP13,"ID não encontrado"),Tabela1[[#This Row],[Valor por lavanderia '[R$/Kg']36]])</f>
        <v>0</v>
      </c>
      <c r="AT13" s="44">
        <f>IFERROR(IF(A13="",0,VLOOKUP(A13,'Estoque-Imóvel'!A:AC,16,FALSE)),"ID não encontrado")</f>
        <v>2</v>
      </c>
      <c r="AU13" s="40">
        <f>IF(AT13=0,0,IF(AT13="ID não encontrado",0,IFERROR(VLOOKUP($AT$2,'BD - Itens x Peso'!$A:$B,2,FALSE),"Nome ou Peso não encontrado")))</f>
        <v>0.3</v>
      </c>
      <c r="AV13" s="42">
        <f>IFERROR(IF(C13="","Cidade não foi inserida",IF(AT13=0,0,VLOOKUP(C13,'BD - Valor Lavanderia Por Item'!A:R,7,FALSE))),"Cidade não encontrada")</f>
        <v>6.9774999999999991</v>
      </c>
      <c r="AW13" s="42">
        <f>IFERROR(IF(AND('TaxaLimpeza (Proposta)'!$A13&lt;&gt;"", COUNTIF('Configuração-Imóvel'!$A:$A, $A13)&gt;0), AV13*AU13*AT13,"ID não encontrado"),Tabela1[[#This Row],[Valor por lavanderia '[R$/Kg']40]])</f>
        <v>4.1864999999999997</v>
      </c>
      <c r="AX13" s="44">
        <f>IFERROR(IF(A13="",0,VLOOKUP(A13,'Estoque-Imóvel'!A:AC,17,FALSE)),"Code não encontrado")</f>
        <v>2</v>
      </c>
      <c r="AY13" s="40">
        <f>IF(AX13=0,0,IF(AX13="ID não encontrado",0,IFERROR(VLOOKUP($AX$2,'BD - Itens x Peso'!$A:$B,2,FALSE),"Nome ou Peso não encontrado")))</f>
        <v>0.19</v>
      </c>
      <c r="AZ13" s="42">
        <f>IFERROR(IF(C13="","Cidade não foi inserida",IF(AX13=0,0,VLOOKUP(C13,'BD - Valor Lavanderia Por Item'!A:R,5,FALSE))),"Cidade não encontrada")</f>
        <v>3.0649999999999999</v>
      </c>
      <c r="BA13" s="42">
        <f>IFERROR(IF(AND('TaxaLimpeza (Proposta)'!$A13&lt;&gt;"", COUNTIF('Configuração-Imóvel'!$A:$A, $A13)&gt;0), AZ13*AY13*AX13,"ID não encontrado"),Tabela1[[#This Row],[Valor por lavanderia '[R$/Kg']44]])</f>
        <v>1.1647000000000001</v>
      </c>
      <c r="BB13" s="44">
        <f>IFERROR(IF(A13="",0,VLOOKUP(A13,'Estoque-Imóvel'!A:AC,18,FALSE)),"ID não encontrado")</f>
        <v>0</v>
      </c>
      <c r="BC13" s="40">
        <f>IF(BB13=0,0,IF(BB13="ID não encontrado",0,IFERROR(VLOOKUP($BB$2,'BD - Itens x Peso'!$A:$B,2,FALSE),"Nome ou Peso não encontrado")))</f>
        <v>0</v>
      </c>
      <c r="BD13" s="42">
        <f>IFERROR(IF(C13="","Cidade não foi inserida",IF(BB13=0,0,VLOOKUP(C13,'BD - Valor Lavanderia Por Item'!A:R,11,FALSE))),"Cidade não encontrada")</f>
        <v>0</v>
      </c>
      <c r="BE13" s="42">
        <f>IFERROR(IF(AND('TaxaLimpeza (Proposta)'!$A13&lt;&gt;"", COUNTIF('Configuração-Imóvel'!$A:$A, $A13)&gt;0), BD13*BC13*BB13,"ID não encontrado"),Tabela1[[#This Row],[Valor por lavanderia '[R$/Kg']48]])</f>
        <v>0</v>
      </c>
      <c r="BF13" s="44">
        <f>IFERROR(IF(A13="",0,VLOOKUP(A13,'Estoque-Imóvel'!A:AC,19,FALSE)),"ID não encontrado")</f>
        <v>0</v>
      </c>
      <c r="BG13" s="40">
        <f>IF(BF13=0,0,IF(BF13="ID não encontrado",0,IFERROR(VLOOKUP($BF$2,'BD - Itens x Peso'!$A:$B,2,FALSE),"Nome ou Peso não encontrado")))</f>
        <v>0</v>
      </c>
      <c r="BH13" s="42">
        <f>IFERROR(IF(C13="","Cidade não foi inserida",IF(BF13=0,0,VLOOKUP(C13,'BD - Valor Lavanderia Por Item'!A:R,13,FALSE))),"Cidade não encontrada")</f>
        <v>0</v>
      </c>
      <c r="BI13" s="42">
        <f>IFERROR(IF(AND('TaxaLimpeza (Proposta)'!$A13&lt;&gt;"", COUNTIF('Configuração-Imóvel'!$A:$A, $A13)&gt;0), BH13*BG13*BF13,"ID não encontrado"),Tabela1[[#This Row],[Valor por lavanderia '[R$/Kg']52]])</f>
        <v>0</v>
      </c>
      <c r="BJ13" s="44">
        <f>IFERROR(IF(A13="",0,VLOOKUP(A13,'Estoque-Imóvel'!A:AC,20,FALSE)),"ID não encontrado")</f>
        <v>0</v>
      </c>
      <c r="BK13" s="40">
        <f>IF(BJ13=0,0,IF(BJ13="ID não encontrado",0,IFERROR(VLOOKUP($BJ$2,'BD - Itens x Peso'!$A:$B,2,FALSE),"Nome ou Peso não encontrado")))</f>
        <v>0</v>
      </c>
      <c r="BL13" s="42">
        <f>IFERROR(IF(C13="","Cidade não foi inserida",IF(BJ13=0,0,VLOOKUP(C13,'BD - Valor Lavanderia Por Item'!A:R,13,FALSE))),"Cidade não encontrada")</f>
        <v>0</v>
      </c>
      <c r="BM13" s="42">
        <f>IFERROR(IF(AND('TaxaLimpeza (Proposta)'!$A13&lt;&gt;"", COUNTIF('Configuração-Imóvel'!$A:$A, $A13)&gt;0), BL13*BK13*BJ13,"ID não encontrado"),Tabela1[[#This Row],[Valor por lavanderia '[R$/Kg']56]])</f>
        <v>0</v>
      </c>
      <c r="BN13" s="44">
        <f>IFERROR(IF(A13="",0,VLOOKUP(A13,'Estoque-Imóvel'!A:AC,21,FALSE)),"ID não encontrado")</f>
        <v>0</v>
      </c>
      <c r="BO13" s="40">
        <f>IF(BN13=0,0,IF(BN13="ID não encontrado",0,IFERROR(VLOOKUP($BN$2,'BD - Itens x Peso'!$A:$B,2,FALSE),"Nome ou Peso não encontrado")))</f>
        <v>0</v>
      </c>
      <c r="BP13" s="42">
        <f>IFERROR(IF(C13="","Cidade não foi inserida",IF(BN13=0,0,VLOOKUP(C13,'BD - Valor Lavanderia Por Item'!A:R,13,FALSE))),"Cidade não encontrada")</f>
        <v>0</v>
      </c>
      <c r="BQ13" s="42">
        <f>IFERROR(IF(AND('TaxaLimpeza (Proposta)'!$A13&lt;&gt;"", COUNTIF('Configuração-Imóvel'!$A:$A, $A13)&gt;0), BP13*BO13*BN13,"ID não encontrado"),Tabela1[[#This Row],[Valor por lavanderia '[R$/Kg']60]])</f>
        <v>0</v>
      </c>
      <c r="BR13" s="44">
        <f>IFERROR(IF(A13="",0,VLOOKUP(A13,'Estoque-Imóvel'!A:AC,22,FALSE)),"ID não encontrado")</f>
        <v>0</v>
      </c>
      <c r="BS13" s="40">
        <f>IF(BR13=0,0,IF(BR13="ID não encontrado",0,IFERROR(VLOOKUP($BR$2,'BD - Itens x Peso'!$A:$B,2,FALSE),"Nome ou Peso não encontrado. Utilizado o Edredom Solteiro como referência")))</f>
        <v>0</v>
      </c>
      <c r="BT13" s="42">
        <f>IFERROR(IF(C13="","Cidade não foi inserida",IF(BR13=0,0,VLOOKUP(C13,'BD - Valor Lavanderia Por Item'!A:R,11,FALSE))),"Cidade não encontrada")</f>
        <v>0</v>
      </c>
      <c r="BU13" s="42">
        <f>IFERROR(IF(AND('TaxaLimpeza (Proposta)'!$A13&lt;&gt;"", COUNTIF('Configuração-Imóvel'!$A:$A, $A13)&gt;0), BT13*BS13*BR13,"ID não encontrado"),BT13*VLOOKUP($BB$2,'BD - Itens x Peso'!$A:$B,2,FALSE)*BR13)</f>
        <v>0</v>
      </c>
      <c r="BV13" s="44">
        <f>IFERROR(IF(A13="",0,VLOOKUP(A13,'Estoque-Imóvel'!A:AC,23,FALSE)),"ID não encontrado")</f>
        <v>0</v>
      </c>
      <c r="BW13" s="40">
        <f>IF(BV13=0,0,IF(BV13="ID não encontrado",0,IFERROR(VLOOKUP($BV$2,'BD - Itens x Peso'!$A:$B,2,FALSE),"Nome ou Peso não encontrado. Utilizado o Edredom Queen Size como referência")))</f>
        <v>0</v>
      </c>
      <c r="BX13" s="42">
        <f>IFERROR(IF(C13="","Cidade não foi inserida",IF(BV13=0,0,VLOOKUP(C13,'BD - Valor Lavanderia Por Item'!A:R,13,FALSE))),"Cidade não encontrada")</f>
        <v>0</v>
      </c>
      <c r="BY13" s="42">
        <f>IFERROR(IF(AND('TaxaLimpeza (Proposta)'!$A13&lt;&gt;"",COUNTIF('Configuração-Imóvel'!$A:$A,$A13)&gt;0),BX13*BW13*BV13,"ID não encontrado"),BX13*(VLOOKUP($BF$2,'BD - Itens x Peso'!$A:$B,2,FALSE)*BV13))</f>
        <v>0</v>
      </c>
      <c r="BZ13" s="44">
        <f>IFERROR(IF(A13="",0,VLOOKUP(A13,'Estoque-Imóvel'!A:AC,24,FALSE)),"ID não encontrado")</f>
        <v>1</v>
      </c>
      <c r="CA13" s="40" t="str">
        <f>IF(BZ13=0,0,IF(BZ13="ID não encontrado",0,IFERROR(VLOOKUP($BZ$2,'BD - Itens x Peso'!$A:$B,2,FALSE),"Nome ou Peso não encontrado. Utilizado o peso do Edredom Casal como referência")))</f>
        <v>Nome ou Peso não encontrado. Utilizado o peso do Edredom Casal como referência</v>
      </c>
      <c r="CB13" s="42">
        <f>IFERROR(IF(C13="","Cidade não foi inserida",IF(BZ13=0,0,VLOOKUP(C13,'BD - Valor Lavanderia Por Item'!A:R,12,FALSE))),"Cidade não encontrada")</f>
        <v>36.594999999999999</v>
      </c>
      <c r="CC13" s="42">
        <f>IFERROR(IF(AND('TaxaLimpeza (Proposta)'!$A13&lt;&gt;"", COUNTIF('Configuração-Imóvel'!$A:$A, $A13)&gt;0), CB13*CA13*BZ13,"ID não encontrado"),VLOOKUP($BN$2,'BD - Itens x Peso'!$A:$B,2,FALSE)*CB13*BZ13)</f>
        <v>40.620450000000005</v>
      </c>
      <c r="CD13" s="44">
        <f>IFERROR(IF(A13="",0,VLOOKUP(A13,'Estoque-Imóvel'!A:AC,25,FALSE)),"ID não encontrado")</f>
        <v>0</v>
      </c>
      <c r="CE13" s="40">
        <f>IF(CD13=0,0,IF(CD13="ID não encontrado",0,IFERROR(VLOOKUP($CD$2,'BD - Itens x Peso'!$A:$B,2,FALSE),"Nome ou Peso não encontrado. Utilizado o Edredom Queen Size como referência")))</f>
        <v>0</v>
      </c>
      <c r="CF13" s="42">
        <f>IFERROR(IF(C13="","Cidade não foi inserida",IF(CD13=0,0,VLOOKUP(C13,'BD - Valor Lavanderia Por Item'!A:R,13,FALSE))),"Cidade não encontrada")</f>
        <v>0</v>
      </c>
      <c r="CG13" s="42">
        <f>IFERROR(IF(AND('TaxaLimpeza (Proposta)'!$A13&lt;&gt;"", COUNTIF('Configuração-Imóvel'!$A:$A, $A13)&gt;0), CF13*CE13*CD13,"ID não encontrado"),VLOOKUP($BF$2,'BD - Itens x Peso'!$A:$B,2,FALSE)*CF13*CD13)</f>
        <v>0</v>
      </c>
      <c r="CH13" s="44">
        <f>IFERROR(IF(A13="",0,VLOOKUP(A13,'Estoque-Imóvel'!A:AC,26,FALSE)),"ID não encontrado")</f>
        <v>0</v>
      </c>
      <c r="CI13" s="40">
        <f>IF(CH13=0,0,IF(CH13="ID não encontrado",0,IFERROR(VLOOKUP($CH$2,'BD - Itens x Peso'!$A:$B,2,FALSE),"Nome ou Peso não encontrado")))</f>
        <v>0</v>
      </c>
      <c r="CJ13" s="42">
        <f>IFERROR(IF(C13="","Cidade não foi inserida",IF(CH13=0,0,VLOOKUP(C13,'BD - Valor Lavanderia Por Item'!A:R,15,FALSE))),"Cidade não encontrada")</f>
        <v>0</v>
      </c>
      <c r="CK13" s="42">
        <f>IFERROR(IF(AND('TaxaLimpeza (Proposta)'!$A13&lt;&gt;"", COUNTIF('Configuração-Imóvel'!$A:$A, $A13)&gt;0), CJ13*CI13*CH13,"ID não encontrado"),Tabela1[[#This Row],[Valor por lavanderia '[R$/Kg']80]])</f>
        <v>0</v>
      </c>
      <c r="CL13" s="44">
        <f>IFERROR(IF(A13="",0,VLOOKUP(A13,'Estoque-Imóvel'!A:AC,27,FALSE)),"ID não encontrado")</f>
        <v>0</v>
      </c>
      <c r="CM13" s="40">
        <f>IF(CL13=0,0,IF(CL13="ID não encontrado",0,IFERROR(VLOOKUP($CL$2,'BD - Itens x Peso'!$A:$B,2,FALSE),"Nome ou Peso não encontrado")))</f>
        <v>0</v>
      </c>
      <c r="CN13" s="42">
        <f>IFERROR(IF(C13="","Cidade não foi inserida",IF(CL13=0,0,VLOOKUP(C13,'BD - Valor Lavanderia Por Item'!A:R,17,FALSE))),"Cidade não encontrada")</f>
        <v>0</v>
      </c>
      <c r="CO13" s="42">
        <f>IFERROR(IF(AND('TaxaLimpeza (Proposta)'!$A13&lt;&gt;"", COUNTIF('Configuração-Imóvel'!$A:$A, $A13)&gt;0), CN13*CM13*CL13,"ID não encontrado"),Tabela1[[#This Row],[Valor por lavanderia '[R$/Kg']84]])</f>
        <v>0</v>
      </c>
      <c r="CP13" s="44">
        <f>IFERROR(IF(A13="",0,VLOOKUP(A13,'Estoque-Imóvel'!A:AC,28,FALSE)),"ID não encontrado")</f>
        <v>0</v>
      </c>
      <c r="CQ13" s="40">
        <f>IF(CP13=0,0,IF(CP13="ID não encontrado",0,IFERROR(VLOOKUP($CP$2,'BD - Itens x Peso'!$A:$B,2,FALSE),"Nome ou Peso não encontrado")))</f>
        <v>0</v>
      </c>
      <c r="CR13" s="42">
        <f>IFERROR(IF(C13="","Cidade não foi inserida",IF(CP13=0,0,VLOOKUP(C13,'BD - Valor Lavanderia Por Item'!A:R,18,FALSE))),"Cidade não encontrada")</f>
        <v>0</v>
      </c>
      <c r="CS13" s="42">
        <f>IFERROR(IF(AND('TaxaLimpeza (Proposta)'!$A13&lt;&gt;"", COUNTIF('Configuração-Imóvel'!$A:$A, $A13)&gt;0), CR13*CQ13*CP13,"ID não encontrado"),Tabela1[[#This Row],[Valor por lavanderia '[R$/Kg']3]])</f>
        <v>0</v>
      </c>
      <c r="CT13" s="44">
        <f>IFERROR(IF(A13="",0,VLOOKUP(A13,'Estoque-Imóvel'!A:AC,29,FALSE)),"ID não encontrado")</f>
        <v>0</v>
      </c>
      <c r="CU13" s="40">
        <f>IF(CT13=0,0,IF(CT13="ID não encontrado",0,IFERROR(VLOOKUP($CT$2,'BD - Itens x Peso'!$A:$B,2,FALSE),"Nome ou Peso não encontrado")))</f>
        <v>0</v>
      </c>
      <c r="CV13" s="42">
        <f>IFERROR(IF(C13="","Cidade não foi inserida",IF(CT13=0,0,VLOOKUP(C13,'BD - Valor Lavanderia Por Item'!A:R,16,FALSE))),"Cidade não encontrada")</f>
        <v>0</v>
      </c>
      <c r="CW13" s="45">
        <f>IFERROR(IF(AND('TaxaLimpeza (Proposta)'!$A13&lt;&gt;"", COUNTIF('Configuração-Imóvel'!$A:$A, $A13)&gt;0), CV13*CU13*CT13,"ID não encontrado"),Tabela1[[#This Row],[Valor por lavanderia '[R$/Kg']2]])</f>
        <v>0</v>
      </c>
      <c r="CX13" s="34">
        <f t="shared" si="1"/>
        <v>60.349370000000008</v>
      </c>
      <c r="CY13" s="68">
        <f>IFERROR(IF(A13="","",(VLOOKUP(A13,'Configuração-Imóvel'!$A$2:$R$21,16,FALSE)+VLOOKUP(A13,'Configuração-Imóvel'!$A$2:$R$21,17,FALSE))*VLOOKUP($CY$3,'BD - Amenities'!$B$2:$E$7,4,FALSE)),"ID não encontrado")</f>
        <v>0.5</v>
      </c>
      <c r="CZ13" s="69">
        <f>IFERROR(IF(A13="","",(VLOOKUP(A13,'Configuração-Imóvel'!$A$2:$R$21,16,FALSE)+VLOOKUP(A13,'Configuração-Imóvel'!$A$2:$R$21,17,FALSE))*VLOOKUP($CZ$3,'BD - Amenities'!$B$2:$E$7,4,FALSE)),"ID não encontrado")</f>
        <v>4</v>
      </c>
      <c r="DA13" s="69">
        <f>IFERROR(IF(A13="","",VLOOKUP(A13,'Configuração-Imóvel'!$A$2:$R$21,16,FALSE)*VLOOKUP($DA$3,'BD - Amenities'!$B$2:$E$7,4,FALSE)),"ID não encontrado")</f>
        <v>1.5</v>
      </c>
      <c r="DB13" s="69">
        <f>IFERROR(IF(A13="","",VLOOKUP(A13,'Configuração-Imóvel'!$A$2:$R$21,16,FALSE)*VLOOKUP($DB$3,'BD - Amenities'!$B$2:$E$7,4,FALSE)),"ID não encontrado")</f>
        <v>1.5</v>
      </c>
      <c r="DC13" s="35">
        <f t="shared" si="2"/>
        <v>7.5</v>
      </c>
      <c r="DD13" s="37">
        <f>IFERROR(IF(A13="","",VLOOKUP($DD$3,'BD - Material de Limpeza'!$A:$D,4,FALSE)),"ID não encontrado")</f>
        <v>2</v>
      </c>
      <c r="DE13" s="38">
        <f>IFERROR(IF(A13="","",VLOOKUP($DE$3,'BD - Material de Limpeza'!$A:$D,4,FALSE)),"ID não encontrado")</f>
        <v>2</v>
      </c>
      <c r="DF13" s="38">
        <f>IFERROR(IF(A13="","",VLOOKUP($DF$3,'BD - Material de Limpeza'!$A:$D,4,FALSE)),"ID não encontrado")</f>
        <v>1</v>
      </c>
      <c r="DG13" s="38">
        <f>IFERROR(IF(A13="","",VLOOKUP($DG$3,'BD - Material de Limpeza'!$A:$D,4,FALSE)),"ID não encontrado")</f>
        <v>1</v>
      </c>
      <c r="DH13" s="38">
        <f>IFERROR(IF(A13="","",VLOOKUP($DH$3,'BD - Material de Limpeza'!$A:$D,4,FALSE)),"ID não encontrado")</f>
        <v>1</v>
      </c>
      <c r="DI13" s="38">
        <f>IFERROR(IF(A13="","",VLOOKUP($DI$3,'BD - Material de Limpeza'!$A:$D,4,FALSE)),"ID não encontrado")</f>
        <v>1</v>
      </c>
      <c r="DJ13" s="38">
        <f>IFERROR(IF(A13="","",VLOOKUP($DJ$3,'BD - Material de Limpeza'!$A:$D,4,FALSE)),"ID não encontrado")</f>
        <v>1</v>
      </c>
      <c r="DK13" s="36">
        <f t="shared" si="0"/>
        <v>9</v>
      </c>
      <c r="DL13" s="72" cm="1">
        <f t="array" ref="DL13">IFERROR(IF('TaxaLimpeza (Proposta)'!$A13="","",INDEX('BD - Valor Limpeza Diarista'!B:B,INDEX('Configuração-Imóvel'!O:O,MATCH(A13,'Configuração-Imóvel'!A:A,0))+1,0)),"ID não encontrado")</f>
        <v>220</v>
      </c>
      <c r="DM13" s="67">
        <f t="shared" si="3"/>
        <v>326.53430700000007</v>
      </c>
      <c r="DN13" s="23" t="s">
        <v>184</v>
      </c>
      <c r="DP13" s="74"/>
    </row>
    <row r="14" spans="1:120" ht="15.75" customHeight="1">
      <c r="A14" s="65" t="s">
        <v>19</v>
      </c>
      <c r="B14" s="32" t="s">
        <v>154</v>
      </c>
      <c r="C14" s="32" t="s">
        <v>95</v>
      </c>
      <c r="D14" s="32" t="s">
        <v>155</v>
      </c>
      <c r="E14" s="33" t="s">
        <v>201</v>
      </c>
      <c r="F14" s="39">
        <f>IFERROR(IF(A14="",0,VLOOKUP(A14,'Estoque-Imóvel'!A:AC,6,FALSE)),"ID não encontrado")</f>
        <v>2</v>
      </c>
      <c r="G14" s="40">
        <f>IF(F14=0,0,IF(F14="ID não encontrado",0,IFERROR(VLOOKUP($F$2,'BD - Itens x Peso'!$A:$B,2,FALSE),"Nome ou Peso não encontrado")))</f>
        <v>0.24</v>
      </c>
      <c r="H14" s="41">
        <f>IFERROR(IF(C14="","Cidade não foi inserida",IF(F14=0,0,VLOOKUP(C14,'BD - Valor Lavanderia Por Item'!A:R,2,FALSE))),"Cidade não encontrada")</f>
        <v>2.7519999999999998</v>
      </c>
      <c r="I14" s="42">
        <f>IFERROR(IF(AND('TaxaLimpeza (Proposta)'!$A14&lt;&gt;"", COUNTIF('Configuração-Imóvel'!$A:$A, $A14)&gt;0), H14*G14*F14,"ID não encontrado"),H14)</f>
        <v>1.3209599999999999</v>
      </c>
      <c r="J14" s="43">
        <f>IFERROR(IF(A14="",0,VLOOKUP(A14,'Estoque-Imóvel'!A:AC,7,FALSE)),"ID não encontrado")</f>
        <v>2</v>
      </c>
      <c r="K14" s="40">
        <f>IF(J14=0,0,IF(J14="ID não encontrado",0,IFERROR(VLOOKUP($J$2,'BD - Itens x Peso'!$A:$B,2,FALSE),"Nome ou Peso não encontrado")))</f>
        <v>0.16</v>
      </c>
      <c r="L14" s="41">
        <f>IFERROR(IF(C14="","Cidade não foi inserida",IF(J14=0,0,VLOOKUP(C14,'BD - Valor Lavanderia Por Item'!A:R,3,FALSE))),"Cidade não encontrada")</f>
        <v>3.5345</v>
      </c>
      <c r="M14" s="41">
        <f>IFERROR(IF(AND('TaxaLimpeza (Proposta)'!$A14&lt;&gt;"", COUNTIF('Configuração-Imóvel'!$A:$A, $A14)&gt;0), L14*K14*J14,"ID não encontrado"),Tabela1[[#This Row],[Valor por lavanderia '[R$/Kg']4]])</f>
        <v>1.13104</v>
      </c>
      <c r="N14" s="44">
        <f>IFERROR(IF(A14="",0,VLOOKUP(A14,'Estoque-Imóvel'!A:AC,8,FALSE)),"ID não encontrado")</f>
        <v>2</v>
      </c>
      <c r="O14" s="40">
        <f>IF(N14=0,0,IF(N14="ID não encontrado",0,IFERROR(VLOOKUP($N$2,'BD - Itens x Peso'!$A:$B,2,FALSE),"Nome ou Peso não encontrado")))</f>
        <v>6.8000000000000005E-2</v>
      </c>
      <c r="P14" s="42">
        <f>IFERROR(IF(C14="","Cidade não foi inserida",IF(N14=0,0,VLOOKUP(C14,'BD - Valor Lavanderia Por Item'!A:R,2,FALSE))),"Cidade não encontrada")</f>
        <v>2.7519999999999998</v>
      </c>
      <c r="Q14" s="42">
        <f>IFERROR(IF(AND('TaxaLimpeza (Proposta)'!$A14&lt;&gt;"", COUNTIF('Configuração-Imóvel'!$A:$A, $A14)&gt;0), P14*O14*N14,"ID não encontrado"),Tabela1[[#This Row],[Valor por lavanderia '[R$/Kg']8]])</f>
        <v>0.37427199999999999</v>
      </c>
      <c r="R14" s="44">
        <f>IFERROR(IF(A14="",0,VLOOKUP(A14,'Estoque-Imóvel'!A:AC,9,FALSE)),"ID não encontrado")</f>
        <v>4</v>
      </c>
      <c r="S14" s="40">
        <f>IF(R14=0,0,IF(R14="ID não encontrado",0,IFERROR(VLOOKUP($R$2,'BD - Itens x Peso'!$A:$B,2,FALSE),"Nome ou Peso não encontrado")))</f>
        <v>0.39</v>
      </c>
      <c r="T14" s="42">
        <f>IFERROR(IF(C14="","Cidade não foi inserida",IF(R14=0,0,VLOOKUP(C14,'BD - Valor Lavanderia Por Item'!A:R,4,FALSE))),"Cidade não encontrada")</f>
        <v>4.7865000000000002</v>
      </c>
      <c r="U14" s="42">
        <f>IFERROR(IF(AND('TaxaLimpeza (Proposta)'!$A14&lt;&gt;"", COUNTIF('Configuração-Imóvel'!$A:$A, $A14)&gt;0), T14*S14*R14,"ID não encontrado"),Tabela1[[#This Row],[Valor por lavanderia '[R$/Kg']12]])</f>
        <v>7.4669400000000001</v>
      </c>
      <c r="V14" s="44">
        <f>IFERROR(IF(A14="",0,VLOOKUP(A14,'Estoque-Imóvel'!A:AC,10,FALSE)),"ID não encontrado")</f>
        <v>1</v>
      </c>
      <c r="W14" s="40">
        <f>IF(V14=0,0,IF(V14="ID não encontrado",0,IFERROR(VLOOKUP($V$2,'BD - Itens x Peso'!$A:$B,2,FALSE),"Nome ou Peso não encontrado")))</f>
        <v>0.1</v>
      </c>
      <c r="X14" s="42">
        <f>IFERROR(IF(C14="","Cidade não foi inserida",IF(V14=0,0,VLOOKUP(C14,'BD - Valor Lavanderia Por Item'!A:R,3,FALSE))),"Cidade não encontrada")</f>
        <v>3.5345</v>
      </c>
      <c r="Y14" s="42">
        <f>IFERROR(IF(AND('TaxaLimpeza (Proposta)'!$A14&lt;&gt;"", COUNTIF('Configuração-Imóvel'!$A:$A, $A14)&gt;0), X14*W14*V14,"ID não encontrado"),Tabela1[[#This Row],[Valor por lavanderia '[R$/Kg']16]])</f>
        <v>0.35345000000000004</v>
      </c>
      <c r="Z14" s="44">
        <f>IFERROR(IF(A14="",0,VLOOKUP(A14,'Estoque-Imóvel'!A:AC,11,FALSE)),"ID não encontrado")</f>
        <v>1</v>
      </c>
      <c r="AA14" s="40">
        <f>IF(Z14=0,0,IF(Z14="ID não encontrado",0,IFERROR(VLOOKUP($Z$2,'BD - Itens x Peso'!$A:$B,2,FALSE),"Nome ou Peso não encontrado")))</f>
        <v>0.04</v>
      </c>
      <c r="AB14" s="42">
        <f>IFERROR(IF(C14="","Cidade não foi inserida",IF(Z14=0,0,VLOOKUP(C14,'BD - Valor Lavanderia Por Item'!A:R,3,FALSE))),"Cidade não encontrada")</f>
        <v>3.5345</v>
      </c>
      <c r="AC14" s="42">
        <f>IFERROR(IF(AND('TaxaLimpeza (Proposta)'!$A14&lt;&gt;"", COUNTIF('Configuração-Imóvel'!$A:$A, $A14)&gt;0), AB14*AA14*Z14,"ID não encontrado"),Tabela1[[#This Row],[Valor por lavanderia '[R$/Kg']20]])</f>
        <v>0.14138000000000001</v>
      </c>
      <c r="AD14" s="44">
        <f>IFERROR(IF(A14="",0,VLOOKUP(A14,'Estoque-Imóvel'!A:AC,12,FALSE)),"ID não encontrado")</f>
        <v>2</v>
      </c>
      <c r="AE14" s="40">
        <f>IF(AD14=0,0,IF(AD14="ID não encontrado",0,IFERROR(VLOOKUP($AD$2,'BD - Itens x Peso'!$A:$B,2,FALSE),"Nome ou Peso não encontrado")))</f>
        <v>1.01</v>
      </c>
      <c r="AF14" s="42">
        <f>IFERROR(IF(C14="","Cidade não foi inserida",IF(AD14=0,0,VLOOKUP(C14,'BD - Valor Lavanderia Por Item'!A:R,9,FALSE))),"Cidade não encontrada")</f>
        <v>9.3249999999999993</v>
      </c>
      <c r="AG14" s="42">
        <f>IFERROR(IF(AND('TaxaLimpeza (Proposta)'!$A14&lt;&gt;"", COUNTIF('Configuração-Imóvel'!$A:$A, $A14)&gt;0), AF14*AE14*AD14,"ID não encontrado"),Tabela1[[#This Row],[Valor por lavanderia '[R$/Kg']24]])</f>
        <v>18.836499999999997</v>
      </c>
      <c r="AH14" s="44">
        <f>IFERROR(IF(A14="",0,VLOOKUP(A14,'Estoque-Imóvel'!A:AC,13,FALSE)),"ID não encontrado")</f>
        <v>0</v>
      </c>
      <c r="AI14" s="40">
        <f>IF(AH14=0,0,IF(AH14="ID não encontrado",0,IFERROR(VLOOKUP($AH$2,'BD - Itens x Peso'!$A:$B,2,FALSE),"Nome ou Peso não encontrado")))</f>
        <v>0</v>
      </c>
      <c r="AJ14" s="42">
        <f>IFERROR(IF(C14="","Cidade não foi inserida",IF(AH14=0,0,VLOOKUP(C14,'BD - Valor Lavanderia Por Item'!A:R,6,FALSE))),"Cidade não encontrada")</f>
        <v>0</v>
      </c>
      <c r="AK14" s="42">
        <f>IFERROR(IF(AND('TaxaLimpeza (Proposta)'!$A14&lt;&gt;"", COUNTIF('Configuração-Imóvel'!$A:$A, $A14)&gt;0), AJ14*AI14*AH14,"ID não encontrado"),Tabela1[[#This Row],[Valor por lavanderia '[R$/Kg']28]])</f>
        <v>0</v>
      </c>
      <c r="AL14" s="44">
        <f>IFERROR(IF(A14="",0,VLOOKUP(A14,'Estoque-Imóvel'!A:AC,14,FALSE)),"ID não encontrado")</f>
        <v>2</v>
      </c>
      <c r="AM14" s="40">
        <f>IF(AL14=0,0,IF(AL14="ID não encontrado",0,IFERROR(VLOOKUP($AL$2,'BD - Itens x Peso'!$A:$B,2,FALSE),"Nome ou Peso não encontrado")))</f>
        <v>0.3</v>
      </c>
      <c r="AN14" s="42">
        <f>IFERROR(IF(C14="","Cidade não foi inserida",IF(AL14=0,0,VLOOKUP(C14,'BD - Valor Lavanderia Por Item'!A:R,8,FALSE))),"Cidade não encontrada")</f>
        <v>8.5425000000000004</v>
      </c>
      <c r="AO14" s="42">
        <f>IFERROR(IF(AND('TaxaLimpeza (Proposta)'!$A14&lt;&gt;"", COUNTIF('Configuração-Imóvel'!$A:$A, $A14)&gt;0), AN14*AM14*AL14,"ID não encontrado"),Tabela1[[#This Row],[Valor por lavanderia '[R$/Kg']32]])</f>
        <v>5.1254999999999997</v>
      </c>
      <c r="AP14" s="44">
        <f>IFERROR(IF(A14="",0,VLOOKUP(A14,'Estoque-Imóvel'!A:AC,15,FALSE)),"ID não encontrado")</f>
        <v>0</v>
      </c>
      <c r="AQ14" s="40">
        <f>IF(AP14=0,0,IF(AP14="ID não encontrado",0,IFERROR(VLOOKUP($AP$2,'BD - Itens x Peso'!$A:$B,2,FALSE),"Nome ou Peso não encontrado")))</f>
        <v>0</v>
      </c>
      <c r="AR14" s="42">
        <f>IFERROR(IF(C14="","Cidade não foi inserida",IF(AP14=0,0,VLOOKUP(C14,'BD - Valor Lavanderia Por Item'!A:R,8,FALSE))),"Cidade não encontrada")</f>
        <v>0</v>
      </c>
      <c r="AS14" s="42">
        <f>IFERROR(IF(AND('TaxaLimpeza (Proposta)'!$A14&lt;&gt;"", COUNTIF('Configuração-Imóvel'!$A:$A, $A14)&gt;0), AR14*AQ14*AP14,"ID não encontrado"),Tabela1[[#This Row],[Valor por lavanderia '[R$/Kg']36]])</f>
        <v>0</v>
      </c>
      <c r="AT14" s="44">
        <f>IFERROR(IF(A14="",0,VLOOKUP(A14,'Estoque-Imóvel'!A:AC,16,FALSE)),"ID não encontrado")</f>
        <v>2</v>
      </c>
      <c r="AU14" s="40">
        <f>IF(AT14=0,0,IF(AT14="ID não encontrado",0,IFERROR(VLOOKUP($AT$2,'BD - Itens x Peso'!$A:$B,2,FALSE),"Nome ou Peso não encontrado")))</f>
        <v>0.3</v>
      </c>
      <c r="AV14" s="42">
        <f>IFERROR(IF(C14="","Cidade não foi inserida",IF(AT14=0,0,VLOOKUP(C14,'BD - Valor Lavanderia Por Item'!A:R,7,FALSE))),"Cidade não encontrada")</f>
        <v>6.9774999999999991</v>
      </c>
      <c r="AW14" s="42">
        <f>IFERROR(IF(AND('TaxaLimpeza (Proposta)'!$A14&lt;&gt;"", COUNTIF('Configuração-Imóvel'!$A:$A, $A14)&gt;0), AV14*AU14*AT14,"ID não encontrado"),Tabela1[[#This Row],[Valor por lavanderia '[R$/Kg']40]])</f>
        <v>4.1864999999999997</v>
      </c>
      <c r="AX14" s="44">
        <f>IFERROR(IF(A14="",0,VLOOKUP(A14,'Estoque-Imóvel'!A:AC,17,FALSE)),"Code não encontrado")</f>
        <v>4</v>
      </c>
      <c r="AY14" s="40">
        <f>IF(AX14=0,0,IF(AX14="ID não encontrado",0,IFERROR(VLOOKUP($AX$2,'BD - Itens x Peso'!$A:$B,2,FALSE),"Nome ou Peso não encontrado")))</f>
        <v>0.19</v>
      </c>
      <c r="AZ14" s="42">
        <f>IFERROR(IF(C14="","Cidade não foi inserida",IF(AX14=0,0,VLOOKUP(C14,'BD - Valor Lavanderia Por Item'!A:R,5,FALSE))),"Cidade não encontrada")</f>
        <v>3.0649999999999999</v>
      </c>
      <c r="BA14" s="42">
        <f>IFERROR(IF(AND('TaxaLimpeza (Proposta)'!$A14&lt;&gt;"", COUNTIF('Configuração-Imóvel'!$A:$A, $A14)&gt;0), AZ14*AY14*AX14,"ID não encontrado"),Tabela1[[#This Row],[Valor por lavanderia '[R$/Kg']44]])</f>
        <v>2.3294000000000001</v>
      </c>
      <c r="BB14" s="44">
        <f>IFERROR(IF(A14="",0,VLOOKUP(A14,'Estoque-Imóvel'!A:AC,18,FALSE)),"ID não encontrado")</f>
        <v>0</v>
      </c>
      <c r="BC14" s="40">
        <f>IF(BB14=0,0,IF(BB14="ID não encontrado",0,IFERROR(VLOOKUP($BB$2,'BD - Itens x Peso'!$A:$B,2,FALSE),"Nome ou Peso não encontrado")))</f>
        <v>0</v>
      </c>
      <c r="BD14" s="42">
        <f>IFERROR(IF(C14="","Cidade não foi inserida",IF(BB14=0,0,VLOOKUP(C14,'BD - Valor Lavanderia Por Item'!A:R,11,FALSE))),"Cidade não encontrada")</f>
        <v>0</v>
      </c>
      <c r="BE14" s="42">
        <f>IFERROR(IF(AND('TaxaLimpeza (Proposta)'!$A14&lt;&gt;"", COUNTIF('Configuração-Imóvel'!$A:$A, $A14)&gt;0), BD14*BC14*BB14,"ID não encontrado"),Tabela1[[#This Row],[Valor por lavanderia '[R$/Kg']48]])</f>
        <v>0</v>
      </c>
      <c r="BF14" s="44">
        <f>IFERROR(IF(A14="",0,VLOOKUP(A14,'Estoque-Imóvel'!A:AC,19,FALSE)),"ID não encontrado")</f>
        <v>0</v>
      </c>
      <c r="BG14" s="40">
        <f>IF(BF14=0,0,IF(BF14="ID não encontrado",0,IFERROR(VLOOKUP($BF$2,'BD - Itens x Peso'!$A:$B,2,FALSE),"Nome ou Peso não encontrado")))</f>
        <v>0</v>
      </c>
      <c r="BH14" s="42">
        <f>IFERROR(IF(C14="","Cidade não foi inserida",IF(BF14=0,0,VLOOKUP(C14,'BD - Valor Lavanderia Por Item'!A:R,13,FALSE))),"Cidade não encontrada")</f>
        <v>0</v>
      </c>
      <c r="BI14" s="42">
        <f>IFERROR(IF(AND('TaxaLimpeza (Proposta)'!$A14&lt;&gt;"", COUNTIF('Configuração-Imóvel'!$A:$A, $A14)&gt;0), BH14*BG14*BF14,"ID não encontrado"),Tabela1[[#This Row],[Valor por lavanderia '[R$/Kg']52]])</f>
        <v>0</v>
      </c>
      <c r="BJ14" s="44">
        <f>IFERROR(IF(A14="",0,VLOOKUP(A14,'Estoque-Imóvel'!A:AC,20,FALSE)),"ID não encontrado")</f>
        <v>0</v>
      </c>
      <c r="BK14" s="40">
        <f>IF(BJ14=0,0,IF(BJ14="ID não encontrado",0,IFERROR(VLOOKUP($BJ$2,'BD - Itens x Peso'!$A:$B,2,FALSE),"Nome ou Peso não encontrado")))</f>
        <v>0</v>
      </c>
      <c r="BL14" s="42">
        <f>IFERROR(IF(C14="","Cidade não foi inserida",IF(BJ14=0,0,VLOOKUP(C14,'BD - Valor Lavanderia Por Item'!A:R,13,FALSE))),"Cidade não encontrada")</f>
        <v>0</v>
      </c>
      <c r="BM14" s="42">
        <f>IFERROR(IF(AND('TaxaLimpeza (Proposta)'!$A14&lt;&gt;"", COUNTIF('Configuração-Imóvel'!$A:$A, $A14)&gt;0), BL14*BK14*BJ14,"ID não encontrado"),Tabela1[[#This Row],[Valor por lavanderia '[R$/Kg']56]])</f>
        <v>0</v>
      </c>
      <c r="BN14" s="44">
        <f>IFERROR(IF(A14="",0,VLOOKUP(A14,'Estoque-Imóvel'!A:AC,21,FALSE)),"ID não encontrado")</f>
        <v>0</v>
      </c>
      <c r="BO14" s="40">
        <f>IF(BN14=0,0,IF(BN14="ID não encontrado",0,IFERROR(VLOOKUP($BN$2,'BD - Itens x Peso'!$A:$B,2,FALSE),"Nome ou Peso não encontrado")))</f>
        <v>0</v>
      </c>
      <c r="BP14" s="42">
        <f>IFERROR(IF(C14="","Cidade não foi inserida",IF(BN14=0,0,VLOOKUP(C14,'BD - Valor Lavanderia Por Item'!A:R,13,FALSE))),"Cidade não encontrada")</f>
        <v>0</v>
      </c>
      <c r="BQ14" s="42">
        <f>IFERROR(IF(AND('TaxaLimpeza (Proposta)'!$A14&lt;&gt;"", COUNTIF('Configuração-Imóvel'!$A:$A, $A14)&gt;0), BP14*BO14*BN14,"ID não encontrado"),Tabela1[[#This Row],[Valor por lavanderia '[R$/Kg']60]])</f>
        <v>0</v>
      </c>
      <c r="BR14" s="44">
        <f>IFERROR(IF(A14="",0,VLOOKUP(A14,'Estoque-Imóvel'!A:AC,22,FALSE)),"ID não encontrado")</f>
        <v>0</v>
      </c>
      <c r="BS14" s="40">
        <f>IF(BR14=0,0,IF(BR14="ID não encontrado",0,IFERROR(VLOOKUP($BR$2,'BD - Itens x Peso'!$A:$B,2,FALSE),"Nome ou Peso não encontrado. Utilizado o Edredom Solteiro como referência")))</f>
        <v>0</v>
      </c>
      <c r="BT14" s="42">
        <f>IFERROR(IF(C14="","Cidade não foi inserida",IF(BR14=0,0,VLOOKUP(C14,'BD - Valor Lavanderia Por Item'!A:R,11,FALSE))),"Cidade não encontrada")</f>
        <v>0</v>
      </c>
      <c r="BU14" s="42">
        <f>IFERROR(IF(AND('TaxaLimpeza (Proposta)'!$A14&lt;&gt;"", COUNTIF('Configuração-Imóvel'!$A:$A, $A14)&gt;0), BT14*BS14*BR14,"ID não encontrado"),BT14*VLOOKUP($BB$2,'BD - Itens x Peso'!$A:$B,2,FALSE)*BR14)</f>
        <v>0</v>
      </c>
      <c r="BV14" s="44">
        <f>IFERROR(IF(A14="",0,VLOOKUP(A14,'Estoque-Imóvel'!A:AC,23,FALSE)),"ID não encontrado")</f>
        <v>0</v>
      </c>
      <c r="BW14" s="40">
        <f>IF(BV14=0,0,IF(BV14="ID não encontrado",0,IFERROR(VLOOKUP($BV$2,'BD - Itens x Peso'!$A:$B,2,FALSE),"Nome ou Peso não encontrado. Utilizado o Edredom Queen Size como referência")))</f>
        <v>0</v>
      </c>
      <c r="BX14" s="42">
        <f>IFERROR(IF(C14="","Cidade não foi inserida",IF(BV14=0,0,VLOOKUP(C14,'BD - Valor Lavanderia Por Item'!A:R,13,FALSE))),"Cidade não encontrada")</f>
        <v>0</v>
      </c>
      <c r="BY14" s="42">
        <f>IFERROR(IF(AND('TaxaLimpeza (Proposta)'!$A14&lt;&gt;"",COUNTIF('Configuração-Imóvel'!$A:$A,$A14)&gt;0),BX14*BW14*BV14,"ID não encontrado"),BX14*(VLOOKUP($BF$2,'BD - Itens x Peso'!$A:$B,2,FALSE)*BV14))</f>
        <v>0</v>
      </c>
      <c r="BZ14" s="44">
        <f>IFERROR(IF(A14="",0,VLOOKUP(A14,'Estoque-Imóvel'!A:AC,24,FALSE)),"ID não encontrado")</f>
        <v>0</v>
      </c>
      <c r="CA14" s="40">
        <f>IF(BZ14=0,0,IF(BZ14="ID não encontrado",0,IFERROR(VLOOKUP($BZ$2,'BD - Itens x Peso'!$A:$B,2,FALSE),"Nome ou Peso não encontrado. Utilizado o peso do Edredom Casal como referência")))</f>
        <v>0</v>
      </c>
      <c r="CB14" s="42">
        <f>IFERROR(IF(C14="","Cidade não foi inserida",IF(BZ14=0,0,VLOOKUP(C14,'BD - Valor Lavanderia Por Item'!A:R,12,FALSE))),"Cidade não encontrada")</f>
        <v>0</v>
      </c>
      <c r="CC14" s="42">
        <f>IFERROR(IF(AND('TaxaLimpeza (Proposta)'!$A14&lt;&gt;"", COUNTIF('Configuração-Imóvel'!$A:$A, $A14)&gt;0), CB14*CA14*BZ14,"ID não encontrado"),VLOOKUP($BN$2,'BD - Itens x Peso'!$A:$B,2,FALSE)*CB14*BZ14)</f>
        <v>0</v>
      </c>
      <c r="CD14" s="44">
        <f>IFERROR(IF(A14="",0,VLOOKUP(A14,'Estoque-Imóvel'!A:AC,25,FALSE)),"ID não encontrado")</f>
        <v>0</v>
      </c>
      <c r="CE14" s="40">
        <f>IF(CD14=0,0,IF(CD14="ID não encontrado",0,IFERROR(VLOOKUP($CD$2,'BD - Itens x Peso'!$A:$B,2,FALSE),"Nome ou Peso não encontrado. Utilizado o Edredom Queen Size como referência")))</f>
        <v>0</v>
      </c>
      <c r="CF14" s="42">
        <f>IFERROR(IF(C14="","Cidade não foi inserida",IF(CD14=0,0,VLOOKUP(C14,'BD - Valor Lavanderia Por Item'!A:R,13,FALSE))),"Cidade não encontrada")</f>
        <v>0</v>
      </c>
      <c r="CG14" s="42">
        <f>IFERROR(IF(AND('TaxaLimpeza (Proposta)'!$A14&lt;&gt;"", COUNTIF('Configuração-Imóvel'!$A:$A, $A14)&gt;0), CF14*CE14*CD14,"ID não encontrado"),VLOOKUP($BF$2,'BD - Itens x Peso'!$A:$B,2,FALSE)*CF14*CD14)</f>
        <v>0</v>
      </c>
      <c r="CH14" s="44">
        <f>IFERROR(IF(A14="",0,VLOOKUP(A14,'Estoque-Imóvel'!A:AC,26,FALSE)),"ID não encontrado")</f>
        <v>0</v>
      </c>
      <c r="CI14" s="40">
        <f>IF(CH14=0,0,IF(CH14="ID não encontrado",0,IFERROR(VLOOKUP($CH$2,'BD - Itens x Peso'!$A:$B,2,FALSE),"Nome ou Peso não encontrado")))</f>
        <v>0</v>
      </c>
      <c r="CJ14" s="42">
        <f>IFERROR(IF(C14="","Cidade não foi inserida",IF(CH14=0,0,VLOOKUP(C14,'BD - Valor Lavanderia Por Item'!A:R,15,FALSE))),"Cidade não encontrada")</f>
        <v>0</v>
      </c>
      <c r="CK14" s="42">
        <f>IFERROR(IF(AND('TaxaLimpeza (Proposta)'!$A14&lt;&gt;"", COUNTIF('Configuração-Imóvel'!$A:$A, $A14)&gt;0), CJ14*CI14*CH14,"ID não encontrado"),Tabela1[[#This Row],[Valor por lavanderia '[R$/Kg']80]])</f>
        <v>0</v>
      </c>
      <c r="CL14" s="44">
        <f>IFERROR(IF(A14="",0,VLOOKUP(A14,'Estoque-Imóvel'!A:AC,27,FALSE)),"ID não encontrado")</f>
        <v>0</v>
      </c>
      <c r="CM14" s="40">
        <f>IF(CL14=0,0,IF(CL14="ID não encontrado",0,IFERROR(VLOOKUP($CL$2,'BD - Itens x Peso'!$A:$B,2,FALSE),"Nome ou Peso não encontrado")))</f>
        <v>0</v>
      </c>
      <c r="CN14" s="42">
        <f>IFERROR(IF(C14="","Cidade não foi inserida",IF(CL14=0,0,VLOOKUP(C14,'BD - Valor Lavanderia Por Item'!A:R,17,FALSE))),"Cidade não encontrada")</f>
        <v>0</v>
      </c>
      <c r="CO14" s="42">
        <f>IFERROR(IF(AND('TaxaLimpeza (Proposta)'!$A14&lt;&gt;"", COUNTIF('Configuração-Imóvel'!$A:$A, $A14)&gt;0), CN14*CM14*CL14,"ID não encontrado"),Tabela1[[#This Row],[Valor por lavanderia '[R$/Kg']84]])</f>
        <v>0</v>
      </c>
      <c r="CP14" s="44">
        <f>IFERROR(IF(A14="",0,VLOOKUP(A14,'Estoque-Imóvel'!A:AC,28,FALSE)),"ID não encontrado")</f>
        <v>0</v>
      </c>
      <c r="CQ14" s="40">
        <f>IF(CP14=0,0,IF(CP14="ID não encontrado",0,IFERROR(VLOOKUP($CP$2,'BD - Itens x Peso'!$A:$B,2,FALSE),"Nome ou Peso não encontrado")))</f>
        <v>0</v>
      </c>
      <c r="CR14" s="42">
        <f>IFERROR(IF(C14="","Cidade não foi inserida",IF(CP14=0,0,VLOOKUP(C14,'BD - Valor Lavanderia Por Item'!A:R,18,FALSE))),"Cidade não encontrada")</f>
        <v>0</v>
      </c>
      <c r="CS14" s="42">
        <f>IFERROR(IF(AND('TaxaLimpeza (Proposta)'!$A14&lt;&gt;"", COUNTIF('Configuração-Imóvel'!$A:$A, $A14)&gt;0), CR14*CQ14*CP14,"ID não encontrado"),Tabela1[[#This Row],[Valor por lavanderia '[R$/Kg']3]])</f>
        <v>0</v>
      </c>
      <c r="CT14" s="44">
        <f>IFERROR(IF(A14="",0,VLOOKUP(A14,'Estoque-Imóvel'!A:AC,29,FALSE)),"ID não encontrado")</f>
        <v>0</v>
      </c>
      <c r="CU14" s="40">
        <f>IF(CT14=0,0,IF(CT14="ID não encontrado",0,IFERROR(VLOOKUP($CT$2,'BD - Itens x Peso'!$A:$B,2,FALSE),"Nome ou Peso não encontrado")))</f>
        <v>0</v>
      </c>
      <c r="CV14" s="42">
        <f>IFERROR(IF(C14="","Cidade não foi inserida",IF(CT14=0,0,VLOOKUP(C14,'BD - Valor Lavanderia Por Item'!A:R,16,FALSE))),"Cidade não encontrada")</f>
        <v>0</v>
      </c>
      <c r="CW14" s="45">
        <f>IFERROR(IF(AND('TaxaLimpeza (Proposta)'!$A14&lt;&gt;"", COUNTIF('Configuração-Imóvel'!$A:$A, $A14)&gt;0), CV14*CU14*CT14,"ID não encontrado"),Tabela1[[#This Row],[Valor por lavanderia '[R$/Kg']2]])</f>
        <v>0</v>
      </c>
      <c r="CX14" s="34">
        <f t="shared" si="1"/>
        <v>41.265942000000003</v>
      </c>
      <c r="CY14" s="68">
        <f>IFERROR(IF(A14="","",(VLOOKUP(A14,'Configuração-Imóvel'!$A$2:$R$21,16,FALSE)+VLOOKUP(A14,'Configuração-Imóvel'!$A$2:$R$21,17,FALSE))*VLOOKUP($CY$3,'BD - Amenities'!$B$2:$E$7,4,FALSE)),"ID não encontrado")</f>
        <v>0.5</v>
      </c>
      <c r="CZ14" s="69">
        <f>IFERROR(IF(A14="","",(VLOOKUP(A14,'Configuração-Imóvel'!$A$2:$R$21,16,FALSE)+VLOOKUP(A14,'Configuração-Imóvel'!$A$2:$R$21,17,FALSE))*VLOOKUP($CZ$3,'BD - Amenities'!$B$2:$E$7,4,FALSE)),"ID não encontrado")</f>
        <v>4</v>
      </c>
      <c r="DA14" s="69">
        <f>IFERROR(IF(A14="","",VLOOKUP(A14,'Configuração-Imóvel'!$A$2:$R$21,16,FALSE)*VLOOKUP($DA$3,'BD - Amenities'!$B$2:$E$7,4,FALSE)),"ID não encontrado")</f>
        <v>1.5</v>
      </c>
      <c r="DB14" s="69">
        <f>IFERROR(IF(A14="","",VLOOKUP(A14,'Configuração-Imóvel'!$A$2:$R$21,16,FALSE)*VLOOKUP($DB$3,'BD - Amenities'!$B$2:$E$7,4,FALSE)),"ID não encontrado")</f>
        <v>1.5</v>
      </c>
      <c r="DC14" s="35">
        <f t="shared" si="2"/>
        <v>7.5</v>
      </c>
      <c r="DD14" s="37">
        <f>IFERROR(IF(A14="","",VLOOKUP($DD$3,'BD - Material de Limpeza'!$A:$D,4,FALSE)),"ID não encontrado")</f>
        <v>2</v>
      </c>
      <c r="DE14" s="38">
        <f>IFERROR(IF(A14="","",VLOOKUP($DE$3,'BD - Material de Limpeza'!$A:$D,4,FALSE)),"ID não encontrado")</f>
        <v>2</v>
      </c>
      <c r="DF14" s="38">
        <f>IFERROR(IF(A14="","",VLOOKUP($DF$3,'BD - Material de Limpeza'!$A:$D,4,FALSE)),"ID não encontrado")</f>
        <v>1</v>
      </c>
      <c r="DG14" s="38">
        <f>IFERROR(IF(A14="","",VLOOKUP($DG$3,'BD - Material de Limpeza'!$A:$D,4,FALSE)),"ID não encontrado")</f>
        <v>1</v>
      </c>
      <c r="DH14" s="38">
        <f>IFERROR(IF(A14="","",VLOOKUP($DH$3,'BD - Material de Limpeza'!$A:$D,4,FALSE)),"ID não encontrado")</f>
        <v>1</v>
      </c>
      <c r="DI14" s="38">
        <f>IFERROR(IF(A14="","",VLOOKUP($DI$3,'BD - Material de Limpeza'!$A:$D,4,FALSE)),"ID não encontrado")</f>
        <v>1</v>
      </c>
      <c r="DJ14" s="38">
        <f>IFERROR(IF(A14="","",VLOOKUP($DJ$3,'BD - Material de Limpeza'!$A:$D,4,FALSE)),"ID não encontrado")</f>
        <v>1</v>
      </c>
      <c r="DK14" s="36">
        <f t="shared" si="0"/>
        <v>9</v>
      </c>
      <c r="DL14" s="72" cm="1">
        <f t="array" ref="DL14">IFERROR(IF('TaxaLimpeza (Proposta)'!$A14="","",INDEX('BD - Valor Limpeza Diarista'!B:B,INDEX('Configuração-Imóvel'!O:O,MATCH(A14,'Configuração-Imóvel'!A:A,0))+1,0)),"ID não encontrado")</f>
        <v>220</v>
      </c>
      <c r="DM14" s="67">
        <f t="shared" si="3"/>
        <v>305.54253620000003</v>
      </c>
      <c r="DN14" s="23" t="s">
        <v>185</v>
      </c>
      <c r="DP14" s="74"/>
    </row>
    <row r="15" spans="1:120" ht="15.75" customHeight="1">
      <c r="A15" s="65" t="s">
        <v>20</v>
      </c>
      <c r="B15" s="32" t="s">
        <v>154</v>
      </c>
      <c r="C15" s="32" t="s">
        <v>95</v>
      </c>
      <c r="D15" s="32" t="s">
        <v>155</v>
      </c>
      <c r="E15" s="33" t="s">
        <v>201</v>
      </c>
      <c r="F15" s="39">
        <f>IFERROR(IF(A15="",0,VLOOKUP(A15,'Estoque-Imóvel'!A:AC,6,FALSE)),"ID não encontrado")</f>
        <v>2</v>
      </c>
      <c r="G15" s="40">
        <f>IF(F15=0,0,IF(F15="ID não encontrado",0,IFERROR(VLOOKUP($F$2,'BD - Itens x Peso'!$A:$B,2,FALSE),"Nome ou Peso não encontrado")))</f>
        <v>0.24</v>
      </c>
      <c r="H15" s="41">
        <f>IFERROR(IF(C15="","Cidade não foi inserida",IF(F15=0,0,VLOOKUP(C15,'BD - Valor Lavanderia Por Item'!A:R,2,FALSE))),"Cidade não encontrada")</f>
        <v>2.7519999999999998</v>
      </c>
      <c r="I15" s="42">
        <f>IFERROR(IF(AND('TaxaLimpeza (Proposta)'!$A15&lt;&gt;"", COUNTIF('Configuração-Imóvel'!$A:$A, $A15)&gt;0), H15*G15*F15,"ID não encontrado"),H15)</f>
        <v>1.3209599999999999</v>
      </c>
      <c r="J15" s="43">
        <f>IFERROR(IF(A15="",0,VLOOKUP(A15,'Estoque-Imóvel'!A:AC,7,FALSE)),"ID não encontrado")</f>
        <v>2</v>
      </c>
      <c r="K15" s="40">
        <f>IF(J15=0,0,IF(J15="ID não encontrado",0,IFERROR(VLOOKUP($J$2,'BD - Itens x Peso'!$A:$B,2,FALSE),"Nome ou Peso não encontrado")))</f>
        <v>0.16</v>
      </c>
      <c r="L15" s="41">
        <f>IFERROR(IF(C15="","Cidade não foi inserida",IF(J15=0,0,VLOOKUP(C15,'BD - Valor Lavanderia Por Item'!A:R,3,FALSE))),"Cidade não encontrada")</f>
        <v>3.5345</v>
      </c>
      <c r="M15" s="41">
        <f>IFERROR(IF(AND('TaxaLimpeza (Proposta)'!$A15&lt;&gt;"", COUNTIF('Configuração-Imóvel'!$A:$A, $A15)&gt;0), L15*K15*J15,"ID não encontrado"),Tabela1[[#This Row],[Valor por lavanderia '[R$/Kg']4]])</f>
        <v>1.13104</v>
      </c>
      <c r="N15" s="44">
        <f>IFERROR(IF(A15="",0,VLOOKUP(A15,'Estoque-Imóvel'!A:AC,8,FALSE)),"ID não encontrado")</f>
        <v>0</v>
      </c>
      <c r="O15" s="40">
        <f>IF(N15=0,0,IF(N15="ID não encontrado",0,IFERROR(VLOOKUP($N$2,'BD - Itens x Peso'!$A:$B,2,FALSE),"Nome ou Peso não encontrado")))</f>
        <v>0</v>
      </c>
      <c r="P15" s="42">
        <f>IFERROR(IF(C15="","Cidade não foi inserida",IF(N15=0,0,VLOOKUP(C15,'BD - Valor Lavanderia Por Item'!A:R,2,FALSE))),"Cidade não encontrada")</f>
        <v>0</v>
      </c>
      <c r="Q15" s="42">
        <f>IFERROR(IF(AND('TaxaLimpeza (Proposta)'!$A15&lt;&gt;"", COUNTIF('Configuração-Imóvel'!$A:$A, $A15)&gt;0), P15*O15*N15,"ID não encontrado"),Tabela1[[#This Row],[Valor por lavanderia '[R$/Kg']8]])</f>
        <v>0</v>
      </c>
      <c r="R15" s="44">
        <f>IFERROR(IF(A15="",0,VLOOKUP(A15,'Estoque-Imóvel'!A:AC,9,FALSE)),"ID não encontrado")</f>
        <v>5</v>
      </c>
      <c r="S15" s="40">
        <f>IF(R15=0,0,IF(R15="ID não encontrado",0,IFERROR(VLOOKUP($R$2,'BD - Itens x Peso'!$A:$B,2,FALSE),"Nome ou Peso não encontrado")))</f>
        <v>0.39</v>
      </c>
      <c r="T15" s="42">
        <f>IFERROR(IF(C15="","Cidade não foi inserida",IF(R15=0,0,VLOOKUP(C15,'BD - Valor Lavanderia Por Item'!A:R,4,FALSE))),"Cidade não encontrada")</f>
        <v>4.7865000000000002</v>
      </c>
      <c r="U15" s="42">
        <f>IFERROR(IF(AND('TaxaLimpeza (Proposta)'!$A15&lt;&gt;"", COUNTIF('Configuração-Imóvel'!$A:$A, $A15)&gt;0), T15*S15*R15,"ID não encontrado"),Tabela1[[#This Row],[Valor por lavanderia '[R$/Kg']12]])</f>
        <v>9.3336749999999995</v>
      </c>
      <c r="V15" s="44">
        <f>IFERROR(IF(A15="",0,VLOOKUP(A15,'Estoque-Imóvel'!A:AC,10,FALSE)),"ID não encontrado")</f>
        <v>0</v>
      </c>
      <c r="W15" s="40">
        <f>IF(V15=0,0,IF(V15="ID não encontrado",0,IFERROR(VLOOKUP($V$2,'BD - Itens x Peso'!$A:$B,2,FALSE),"Nome ou Peso não encontrado")))</f>
        <v>0</v>
      </c>
      <c r="X15" s="42">
        <f>IFERROR(IF(C15="","Cidade não foi inserida",IF(V15=0,0,VLOOKUP(C15,'BD - Valor Lavanderia Por Item'!A:R,3,FALSE))),"Cidade não encontrada")</f>
        <v>0</v>
      </c>
      <c r="Y15" s="42">
        <f>IFERROR(IF(AND('TaxaLimpeza (Proposta)'!$A15&lt;&gt;"", COUNTIF('Configuração-Imóvel'!$A:$A, $A15)&gt;0), X15*W15*V15,"ID não encontrado"),Tabela1[[#This Row],[Valor por lavanderia '[R$/Kg']16]])</f>
        <v>0</v>
      </c>
      <c r="Z15" s="44">
        <f>IFERROR(IF(A15="",0,VLOOKUP(A15,'Estoque-Imóvel'!A:AC,11,FALSE)),"ID não encontrado")</f>
        <v>0</v>
      </c>
      <c r="AA15" s="40">
        <f>IF(Z15=0,0,IF(Z15="ID não encontrado",0,IFERROR(VLOOKUP($Z$2,'BD - Itens x Peso'!$A:$B,2,FALSE),"Nome ou Peso não encontrado")))</f>
        <v>0</v>
      </c>
      <c r="AB15" s="42">
        <f>IFERROR(IF(C15="","Cidade não foi inserida",IF(Z15=0,0,VLOOKUP(C15,'BD - Valor Lavanderia Por Item'!A:R,3,FALSE))),"Cidade não encontrada")</f>
        <v>0</v>
      </c>
      <c r="AC15" s="42">
        <f>IFERROR(IF(AND('TaxaLimpeza (Proposta)'!$A15&lt;&gt;"", COUNTIF('Configuração-Imóvel'!$A:$A, $A15)&gt;0), AB15*AA15*Z15,"ID não encontrado"),Tabela1[[#This Row],[Valor por lavanderia '[R$/Kg']20]])</f>
        <v>0</v>
      </c>
      <c r="AD15" s="44">
        <f>IFERROR(IF(A15="",0,VLOOKUP(A15,'Estoque-Imóvel'!A:AC,12,FALSE)),"ID não encontrado")</f>
        <v>3</v>
      </c>
      <c r="AE15" s="40">
        <f>IF(AD15=0,0,IF(AD15="ID não encontrado",0,IFERROR(VLOOKUP($AD$2,'BD - Itens x Peso'!$A:$B,2,FALSE),"Nome ou Peso não encontrado")))</f>
        <v>1.01</v>
      </c>
      <c r="AF15" s="42">
        <f>IFERROR(IF(C15="","Cidade não foi inserida",IF(AD15=0,0,VLOOKUP(C15,'BD - Valor Lavanderia Por Item'!A:R,9,FALSE))),"Cidade não encontrada")</f>
        <v>9.3249999999999993</v>
      </c>
      <c r="AG15" s="42">
        <f>IFERROR(IF(AND('TaxaLimpeza (Proposta)'!$A15&lt;&gt;"", COUNTIF('Configuração-Imóvel'!$A:$A, $A15)&gt;0), AF15*AE15*AD15,"ID não encontrado"),Tabela1[[#This Row],[Valor por lavanderia '[R$/Kg']24]])</f>
        <v>28.254749999999994</v>
      </c>
      <c r="AH15" s="44">
        <f>IFERROR(IF(A15="",0,VLOOKUP(A15,'Estoque-Imóvel'!A:AC,13,FALSE)),"ID não encontrado")</f>
        <v>6</v>
      </c>
      <c r="AI15" s="40">
        <f>IF(AH15=0,0,IF(AH15="ID não encontrado",0,IFERROR(VLOOKUP($AH$2,'BD - Itens x Peso'!$A:$B,2,FALSE),"Nome ou Peso não encontrado")))</f>
        <v>0.3</v>
      </c>
      <c r="AJ15" s="42">
        <f>IFERROR(IF(C15="","Cidade não foi inserida",IF(AH15=0,0,VLOOKUP(C15,'BD - Valor Lavanderia Por Item'!A:R,6,FALSE))),"Cidade não encontrada")</f>
        <v>6.1950000000000003</v>
      </c>
      <c r="AK15" s="42">
        <f>IFERROR(IF(AND('TaxaLimpeza (Proposta)'!$A15&lt;&gt;"", COUNTIF('Configuração-Imóvel'!$A:$A, $A15)&gt;0), AJ15*AI15*AH15,"ID não encontrado"),Tabela1[[#This Row],[Valor por lavanderia '[R$/Kg']28]])</f>
        <v>11.151</v>
      </c>
      <c r="AL15" s="44">
        <f>IFERROR(IF(A15="",0,VLOOKUP(A15,'Estoque-Imóvel'!A:AC,14,FALSE)),"ID não encontrado")</f>
        <v>2</v>
      </c>
      <c r="AM15" s="40">
        <f>IF(AL15=0,0,IF(AL15="ID não encontrado",0,IFERROR(VLOOKUP($AL$2,'BD - Itens x Peso'!$A:$B,2,FALSE),"Nome ou Peso não encontrado")))</f>
        <v>0.3</v>
      </c>
      <c r="AN15" s="42">
        <f>IFERROR(IF(C15="","Cidade não foi inserida",IF(AL15=0,0,VLOOKUP(C15,'BD - Valor Lavanderia Por Item'!A:R,8,FALSE))),"Cidade não encontrada")</f>
        <v>8.5425000000000004</v>
      </c>
      <c r="AO15" s="42">
        <f>IFERROR(IF(AND('TaxaLimpeza (Proposta)'!$A15&lt;&gt;"", COUNTIF('Configuração-Imóvel'!$A:$A, $A15)&gt;0), AN15*AM15*AL15,"ID não encontrado"),Tabela1[[#This Row],[Valor por lavanderia '[R$/Kg']32]])</f>
        <v>5.1254999999999997</v>
      </c>
      <c r="AP15" s="44">
        <f>IFERROR(IF(A15="",0,VLOOKUP(A15,'Estoque-Imóvel'!A:AC,15,FALSE)),"ID não encontrado")</f>
        <v>0</v>
      </c>
      <c r="AQ15" s="40">
        <f>IF(AP15=0,0,IF(AP15="ID não encontrado",0,IFERROR(VLOOKUP($AP$2,'BD - Itens x Peso'!$A:$B,2,FALSE),"Nome ou Peso não encontrado")))</f>
        <v>0</v>
      </c>
      <c r="AR15" s="42">
        <f>IFERROR(IF(C15="","Cidade não foi inserida",IF(AP15=0,0,VLOOKUP(C15,'BD - Valor Lavanderia Por Item'!A:R,8,FALSE))),"Cidade não encontrada")</f>
        <v>0</v>
      </c>
      <c r="AS15" s="42">
        <f>IFERROR(IF(AND('TaxaLimpeza (Proposta)'!$A15&lt;&gt;"", COUNTIF('Configuração-Imóvel'!$A:$A, $A15)&gt;0), AR15*AQ15*AP15,"ID não encontrado"),Tabela1[[#This Row],[Valor por lavanderia '[R$/Kg']36]])</f>
        <v>0</v>
      </c>
      <c r="AT15" s="44">
        <f>IFERROR(IF(A15="",0,VLOOKUP(A15,'Estoque-Imóvel'!A:AC,16,FALSE)),"ID não encontrado")</f>
        <v>0</v>
      </c>
      <c r="AU15" s="40">
        <f>IF(AT15=0,0,IF(AT15="ID não encontrado",0,IFERROR(VLOOKUP($AT$2,'BD - Itens x Peso'!$A:$B,2,FALSE),"Nome ou Peso não encontrado")))</f>
        <v>0</v>
      </c>
      <c r="AV15" s="42">
        <f>IFERROR(IF(C15="","Cidade não foi inserida",IF(AT15=0,0,VLOOKUP(C15,'BD - Valor Lavanderia Por Item'!A:R,7,FALSE))),"Cidade não encontrada")</f>
        <v>0</v>
      </c>
      <c r="AW15" s="42">
        <f>IFERROR(IF(AND('TaxaLimpeza (Proposta)'!$A15&lt;&gt;"", COUNTIF('Configuração-Imóvel'!$A:$A, $A15)&gt;0), AV15*AU15*AT15,"ID não encontrado"),Tabela1[[#This Row],[Valor por lavanderia '[R$/Kg']40]])</f>
        <v>0</v>
      </c>
      <c r="AX15" s="44">
        <f>IFERROR(IF(A15="",0,VLOOKUP(A15,'Estoque-Imóvel'!A:AC,17,FALSE)),"Code não encontrado")</f>
        <v>5</v>
      </c>
      <c r="AY15" s="40">
        <f>IF(AX15=0,0,IF(AX15="ID não encontrado",0,IFERROR(VLOOKUP($AX$2,'BD - Itens x Peso'!$A:$B,2,FALSE),"Nome ou Peso não encontrado")))</f>
        <v>0.19</v>
      </c>
      <c r="AZ15" s="42">
        <f>IFERROR(IF(C15="","Cidade não foi inserida",IF(AX15=0,0,VLOOKUP(C15,'BD - Valor Lavanderia Por Item'!A:R,5,FALSE))),"Cidade não encontrada")</f>
        <v>3.0649999999999999</v>
      </c>
      <c r="BA15" s="42">
        <f>IFERROR(IF(AND('TaxaLimpeza (Proposta)'!$A15&lt;&gt;"", COUNTIF('Configuração-Imóvel'!$A:$A, $A15)&gt;0), AZ15*AY15*AX15,"ID não encontrado"),Tabela1[[#This Row],[Valor por lavanderia '[R$/Kg']44]])</f>
        <v>2.9117500000000001</v>
      </c>
      <c r="BB15" s="44">
        <f>IFERROR(IF(A15="",0,VLOOKUP(A15,'Estoque-Imóvel'!A:AC,18,FALSE)),"ID não encontrado")</f>
        <v>0</v>
      </c>
      <c r="BC15" s="40">
        <f>IF(BB15=0,0,IF(BB15="ID não encontrado",0,IFERROR(VLOOKUP($BB$2,'BD - Itens x Peso'!$A:$B,2,FALSE),"Nome ou Peso não encontrado")))</f>
        <v>0</v>
      </c>
      <c r="BD15" s="42">
        <f>IFERROR(IF(C15="","Cidade não foi inserida",IF(BB15=0,0,VLOOKUP(C15,'BD - Valor Lavanderia Por Item'!A:R,11,FALSE))),"Cidade não encontrada")</f>
        <v>0</v>
      </c>
      <c r="BE15" s="42">
        <f>IFERROR(IF(AND('TaxaLimpeza (Proposta)'!$A15&lt;&gt;"", COUNTIF('Configuração-Imóvel'!$A:$A, $A15)&gt;0), BD15*BC15*BB15,"ID não encontrado"),Tabela1[[#This Row],[Valor por lavanderia '[R$/Kg']48]])</f>
        <v>0</v>
      </c>
      <c r="BF15" s="44">
        <f>IFERROR(IF(A15="",0,VLOOKUP(A15,'Estoque-Imóvel'!A:AC,19,FALSE)),"ID não encontrado")</f>
        <v>1</v>
      </c>
      <c r="BG15" s="40">
        <f>IF(BF15=0,0,IF(BF15="ID não encontrado",0,IFERROR(VLOOKUP($BF$2,'BD - Itens x Peso'!$A:$B,2,FALSE),"Nome ou Peso não encontrado")))</f>
        <v>2.62</v>
      </c>
      <c r="BH15" s="42">
        <f>IFERROR(IF(C15="","Cidade não foi inserida",IF(BF15=0,0,VLOOKUP(C15,'BD - Valor Lavanderia Por Item'!A:R,13,FALSE))),"Cidade não encontrada")</f>
        <v>41.7575</v>
      </c>
      <c r="BI15" s="42">
        <f>IFERROR(IF(AND('TaxaLimpeza (Proposta)'!$A15&lt;&gt;"", COUNTIF('Configuração-Imóvel'!$A:$A, $A15)&gt;0), BH15*BG15*BF15,"ID não encontrado"),Tabela1[[#This Row],[Valor por lavanderia '[R$/Kg']52]])</f>
        <v>109.40465</v>
      </c>
      <c r="BJ15" s="44">
        <f>IFERROR(IF(A15="",0,VLOOKUP(A15,'Estoque-Imóvel'!A:AC,20,FALSE)),"ID não encontrado")</f>
        <v>0</v>
      </c>
      <c r="BK15" s="40">
        <f>IF(BJ15=0,0,IF(BJ15="ID não encontrado",0,IFERROR(VLOOKUP($BJ$2,'BD - Itens x Peso'!$A:$B,2,FALSE),"Nome ou Peso não encontrado")))</f>
        <v>0</v>
      </c>
      <c r="BL15" s="42">
        <f>IFERROR(IF(C15="","Cidade não foi inserida",IF(BJ15=0,0,VLOOKUP(C15,'BD - Valor Lavanderia Por Item'!A:R,13,FALSE))),"Cidade não encontrada")</f>
        <v>0</v>
      </c>
      <c r="BM15" s="42">
        <f>IFERROR(IF(AND('TaxaLimpeza (Proposta)'!$A15&lt;&gt;"", COUNTIF('Configuração-Imóvel'!$A:$A, $A15)&gt;0), BL15*BK15*BJ15,"ID não encontrado"),Tabela1[[#This Row],[Valor por lavanderia '[R$/Kg']56]])</f>
        <v>0</v>
      </c>
      <c r="BN15" s="44">
        <f>IFERROR(IF(A15="",0,VLOOKUP(A15,'Estoque-Imóvel'!A:AC,21,FALSE)),"ID não encontrado")</f>
        <v>0</v>
      </c>
      <c r="BO15" s="40">
        <f>IF(BN15=0,0,IF(BN15="ID não encontrado",0,IFERROR(VLOOKUP($BN$2,'BD - Itens x Peso'!$A:$B,2,FALSE),"Nome ou Peso não encontrado")))</f>
        <v>0</v>
      </c>
      <c r="BP15" s="42">
        <f>IFERROR(IF(C15="","Cidade não foi inserida",IF(BN15=0,0,VLOOKUP(C15,'BD - Valor Lavanderia Por Item'!A:R,13,FALSE))),"Cidade não encontrada")</f>
        <v>0</v>
      </c>
      <c r="BQ15" s="42">
        <f>IFERROR(IF(AND('TaxaLimpeza (Proposta)'!$A15&lt;&gt;"", COUNTIF('Configuração-Imóvel'!$A:$A, $A15)&gt;0), BP15*BO15*BN15,"ID não encontrado"),Tabela1[[#This Row],[Valor por lavanderia '[R$/Kg']60]])</f>
        <v>0</v>
      </c>
      <c r="BR15" s="44">
        <f>IFERROR(IF(A15="",0,VLOOKUP(A15,'Estoque-Imóvel'!A:AC,22,FALSE)),"ID não encontrado")</f>
        <v>0</v>
      </c>
      <c r="BS15" s="40">
        <f>IF(BR15=0,0,IF(BR15="ID não encontrado",0,IFERROR(VLOOKUP($BR$2,'BD - Itens x Peso'!$A:$B,2,FALSE),"Nome ou Peso não encontrado. Utilizado o Edredom Solteiro como referência")))</f>
        <v>0</v>
      </c>
      <c r="BT15" s="42">
        <f>IFERROR(IF(C15="","Cidade não foi inserida",IF(BR15=0,0,VLOOKUP(C15,'BD - Valor Lavanderia Por Item'!A:R,11,FALSE))),"Cidade não encontrada")</f>
        <v>0</v>
      </c>
      <c r="BU15" s="42">
        <f>IFERROR(IF(AND('TaxaLimpeza (Proposta)'!$A15&lt;&gt;"", COUNTIF('Configuração-Imóvel'!$A:$A, $A15)&gt;0), BT15*BS15*BR15,"ID não encontrado"),BT15*VLOOKUP($BB$2,'BD - Itens x Peso'!$A:$B,2,FALSE)*BR15)</f>
        <v>0</v>
      </c>
      <c r="BV15" s="44">
        <f>IFERROR(IF(A15="",0,VLOOKUP(A15,'Estoque-Imóvel'!A:AC,23,FALSE)),"ID não encontrado")</f>
        <v>0</v>
      </c>
      <c r="BW15" s="40">
        <f>IF(BV15=0,0,IF(BV15="ID não encontrado",0,IFERROR(VLOOKUP($BV$2,'BD - Itens x Peso'!$A:$B,2,FALSE),"Nome ou Peso não encontrado. Utilizado o Edredom Queen Size como referência")))</f>
        <v>0</v>
      </c>
      <c r="BX15" s="42">
        <f>IFERROR(IF(C15="","Cidade não foi inserida",IF(BV15=0,0,VLOOKUP(C15,'BD - Valor Lavanderia Por Item'!A:R,13,FALSE))),"Cidade não encontrada")</f>
        <v>0</v>
      </c>
      <c r="BY15" s="42">
        <f>IFERROR(IF(AND('TaxaLimpeza (Proposta)'!$A15&lt;&gt;"",COUNTIF('Configuração-Imóvel'!$A:$A,$A15)&gt;0),BX15*BW15*BV15,"ID não encontrado"),BX15*(VLOOKUP($BF$2,'BD - Itens x Peso'!$A:$B,2,FALSE)*BV15))</f>
        <v>0</v>
      </c>
      <c r="BZ15" s="44">
        <f>IFERROR(IF(A15="",0,VLOOKUP(A15,'Estoque-Imóvel'!A:AC,24,FALSE)),"ID não encontrado")</f>
        <v>0</v>
      </c>
      <c r="CA15" s="40">
        <f>IF(BZ15=0,0,IF(BZ15="ID não encontrado",0,IFERROR(VLOOKUP($BZ$2,'BD - Itens x Peso'!$A:$B,2,FALSE),"Nome ou Peso não encontrado. Utilizado o peso do Edredom Casal como referência")))</f>
        <v>0</v>
      </c>
      <c r="CB15" s="42">
        <f>IFERROR(IF(C15="","Cidade não foi inserida",IF(BZ15=0,0,VLOOKUP(C15,'BD - Valor Lavanderia Por Item'!A:R,12,FALSE))),"Cidade não encontrada")</f>
        <v>0</v>
      </c>
      <c r="CC15" s="42">
        <f>IFERROR(IF(AND('TaxaLimpeza (Proposta)'!$A15&lt;&gt;"", COUNTIF('Configuração-Imóvel'!$A:$A, $A15)&gt;0), CB15*CA15*BZ15,"ID não encontrado"),VLOOKUP($BN$2,'BD - Itens x Peso'!$A:$B,2,FALSE)*CB15*BZ15)</f>
        <v>0</v>
      </c>
      <c r="CD15" s="44">
        <f>IFERROR(IF(A15="",0,VLOOKUP(A15,'Estoque-Imóvel'!A:AC,25,FALSE)),"ID não encontrado")</f>
        <v>0</v>
      </c>
      <c r="CE15" s="40">
        <f>IF(CD15=0,0,IF(CD15="ID não encontrado",0,IFERROR(VLOOKUP($CD$2,'BD - Itens x Peso'!$A:$B,2,FALSE),"Nome ou Peso não encontrado. Utilizado o Edredom Queen Size como referência")))</f>
        <v>0</v>
      </c>
      <c r="CF15" s="42">
        <f>IFERROR(IF(C15="","Cidade não foi inserida",IF(CD15=0,0,VLOOKUP(C15,'BD - Valor Lavanderia Por Item'!A:R,13,FALSE))),"Cidade não encontrada")</f>
        <v>0</v>
      </c>
      <c r="CG15" s="42">
        <f>IFERROR(IF(AND('TaxaLimpeza (Proposta)'!$A15&lt;&gt;"", COUNTIF('Configuração-Imóvel'!$A:$A, $A15)&gt;0), CF15*CE15*CD15,"ID não encontrado"),VLOOKUP($BF$2,'BD - Itens x Peso'!$A:$B,2,FALSE)*CF15*CD15)</f>
        <v>0</v>
      </c>
      <c r="CH15" s="44">
        <f>IFERROR(IF(A15="",0,VLOOKUP(A15,'Estoque-Imóvel'!A:AC,26,FALSE)),"ID não encontrado")</f>
        <v>0</v>
      </c>
      <c r="CI15" s="40">
        <f>IF(CH15=0,0,IF(CH15="ID não encontrado",0,IFERROR(VLOOKUP($CH$2,'BD - Itens x Peso'!$A:$B,2,FALSE),"Nome ou Peso não encontrado")))</f>
        <v>0</v>
      </c>
      <c r="CJ15" s="42">
        <f>IFERROR(IF(C15="","Cidade não foi inserida",IF(CH15=0,0,VLOOKUP(C15,'BD - Valor Lavanderia Por Item'!A:R,15,FALSE))),"Cidade não encontrada")</f>
        <v>0</v>
      </c>
      <c r="CK15" s="42">
        <f>IFERROR(IF(AND('TaxaLimpeza (Proposta)'!$A15&lt;&gt;"", COUNTIF('Configuração-Imóvel'!$A:$A, $A15)&gt;0), CJ15*CI15*CH15,"ID não encontrado"),Tabela1[[#This Row],[Valor por lavanderia '[R$/Kg']80]])</f>
        <v>0</v>
      </c>
      <c r="CL15" s="44">
        <f>IFERROR(IF(A15="",0,VLOOKUP(A15,'Estoque-Imóvel'!A:AC,27,FALSE)),"ID não encontrado")</f>
        <v>1</v>
      </c>
      <c r="CM15" s="40">
        <f>IF(CL15=0,0,IF(CL15="ID não encontrado",0,IFERROR(VLOOKUP($CL$2,'BD - Itens x Peso'!$A:$B,2,FALSE),"Nome ou Peso não encontrado")))</f>
        <v>1.56</v>
      </c>
      <c r="CN15" s="42">
        <f>IFERROR(IF(C15="","Cidade não foi inserida",IF(CL15=0,0,VLOOKUP(C15,'BD - Valor Lavanderia Por Item'!A:R,17,FALSE))),"Cidade não encontrada")</f>
        <v>16.457000000000001</v>
      </c>
      <c r="CO15" s="42">
        <f>IFERROR(IF(AND('TaxaLimpeza (Proposta)'!$A15&lt;&gt;"", COUNTIF('Configuração-Imóvel'!$A:$A, $A15)&gt;0), CN15*CM15*CL15,"ID não encontrado"),Tabela1[[#This Row],[Valor por lavanderia '[R$/Kg']84]])</f>
        <v>25.672920000000001</v>
      </c>
      <c r="CP15" s="44">
        <f>IFERROR(IF(A15="",0,VLOOKUP(A15,'Estoque-Imóvel'!A:AC,28,FALSE)),"ID não encontrado")</f>
        <v>0</v>
      </c>
      <c r="CQ15" s="40">
        <f>IF(CP15=0,0,IF(CP15="ID não encontrado",0,IFERROR(VLOOKUP($CP$2,'BD - Itens x Peso'!$A:$B,2,FALSE),"Nome ou Peso não encontrado")))</f>
        <v>0</v>
      </c>
      <c r="CR15" s="42">
        <f>IFERROR(IF(C15="","Cidade não foi inserida",IF(CP15=0,0,VLOOKUP(C15,'BD - Valor Lavanderia Por Item'!A:R,18,FALSE))),"Cidade não encontrada")</f>
        <v>0</v>
      </c>
      <c r="CS15" s="42">
        <f>IFERROR(IF(AND('TaxaLimpeza (Proposta)'!$A15&lt;&gt;"", COUNTIF('Configuração-Imóvel'!$A:$A, $A15)&gt;0), CR15*CQ15*CP15,"ID não encontrado"),Tabela1[[#This Row],[Valor por lavanderia '[R$/Kg']3]])</f>
        <v>0</v>
      </c>
      <c r="CT15" s="44">
        <f>IFERROR(IF(A15="",0,VLOOKUP(A15,'Estoque-Imóvel'!A:AC,29,FALSE)),"ID não encontrado")</f>
        <v>0</v>
      </c>
      <c r="CU15" s="40">
        <f>IF(CT15=0,0,IF(CT15="ID não encontrado",0,IFERROR(VLOOKUP($CT$2,'BD - Itens x Peso'!$A:$B,2,FALSE),"Nome ou Peso não encontrado")))</f>
        <v>0</v>
      </c>
      <c r="CV15" s="42">
        <f>IFERROR(IF(C15="","Cidade não foi inserida",IF(CT15=0,0,VLOOKUP(C15,'BD - Valor Lavanderia Por Item'!A:R,16,FALSE))),"Cidade não encontrada")</f>
        <v>0</v>
      </c>
      <c r="CW15" s="45">
        <f>IFERROR(IF(AND('TaxaLimpeza (Proposta)'!$A15&lt;&gt;"", COUNTIF('Configuração-Imóvel'!$A:$A, $A15)&gt;0), CV15*CU15*CT15,"ID não encontrado"),Tabela1[[#This Row],[Valor por lavanderia '[R$/Kg']2]])</f>
        <v>0</v>
      </c>
      <c r="CX15" s="34">
        <f t="shared" si="1"/>
        <v>194.30624500000002</v>
      </c>
      <c r="CY15" s="68">
        <f>IFERROR(IF(A15="","",(VLOOKUP(A15,'Configuração-Imóvel'!$A$2:$R$21,16,FALSE)+VLOOKUP(A15,'Configuração-Imóvel'!$A$2:$R$21,17,FALSE))*VLOOKUP($CY$3,'BD - Amenities'!$B$2:$E$7,4,FALSE)),"ID não encontrado")</f>
        <v>0.5</v>
      </c>
      <c r="CZ15" s="69">
        <f>IFERROR(IF(A15="","",(VLOOKUP(A15,'Configuração-Imóvel'!$A$2:$R$21,16,FALSE)+VLOOKUP(A15,'Configuração-Imóvel'!$A$2:$R$21,17,FALSE))*VLOOKUP($CZ$3,'BD - Amenities'!$B$2:$E$7,4,FALSE)),"ID não encontrado")</f>
        <v>4</v>
      </c>
      <c r="DA15" s="69">
        <f>IFERROR(IF(A15="","",VLOOKUP(A15,'Configuração-Imóvel'!$A$2:$R$21,16,FALSE)*VLOOKUP($DA$3,'BD - Amenities'!$B$2:$E$7,4,FALSE)),"ID não encontrado")</f>
        <v>1.5</v>
      </c>
      <c r="DB15" s="69">
        <f>IFERROR(IF(A15="","",VLOOKUP(A15,'Configuração-Imóvel'!$A$2:$R$21,16,FALSE)*VLOOKUP($DB$3,'BD - Amenities'!$B$2:$E$7,4,FALSE)),"ID não encontrado")</f>
        <v>1.5</v>
      </c>
      <c r="DC15" s="35">
        <f t="shared" si="2"/>
        <v>7.5</v>
      </c>
      <c r="DD15" s="37">
        <f>IFERROR(IF(A15="","",VLOOKUP($DD$3,'BD - Material de Limpeza'!$A:$D,4,FALSE)),"ID não encontrado")</f>
        <v>2</v>
      </c>
      <c r="DE15" s="38">
        <f>IFERROR(IF(A15="","",VLOOKUP($DE$3,'BD - Material de Limpeza'!$A:$D,4,FALSE)),"ID não encontrado")</f>
        <v>2</v>
      </c>
      <c r="DF15" s="38">
        <f>IFERROR(IF(A15="","",VLOOKUP($DF$3,'BD - Material de Limpeza'!$A:$D,4,FALSE)),"ID não encontrado")</f>
        <v>1</v>
      </c>
      <c r="DG15" s="38">
        <f>IFERROR(IF(A15="","",VLOOKUP($DG$3,'BD - Material de Limpeza'!$A:$D,4,FALSE)),"ID não encontrado")</f>
        <v>1</v>
      </c>
      <c r="DH15" s="38">
        <f>IFERROR(IF(A15="","",VLOOKUP($DH$3,'BD - Material de Limpeza'!$A:$D,4,FALSE)),"ID não encontrado")</f>
        <v>1</v>
      </c>
      <c r="DI15" s="38">
        <f>IFERROR(IF(A15="","",VLOOKUP($DI$3,'BD - Material de Limpeza'!$A:$D,4,FALSE)),"ID não encontrado")</f>
        <v>1</v>
      </c>
      <c r="DJ15" s="38">
        <f>IFERROR(IF(A15="","",VLOOKUP($DJ$3,'BD - Material de Limpeza'!$A:$D,4,FALSE)),"ID não encontrado")</f>
        <v>1</v>
      </c>
      <c r="DK15" s="36">
        <f t="shared" si="0"/>
        <v>9</v>
      </c>
      <c r="DL15" s="72" cm="1">
        <f t="array" ref="DL15">IFERROR(IF('TaxaLimpeza (Proposta)'!$A15="","",INDEX('BD - Valor Limpeza Diarista'!B:B,INDEX('Configuração-Imóvel'!O:O,MATCH(A15,'Configuração-Imóvel'!A:A,0))+1,0)),"ID não encontrado")</f>
        <v>220</v>
      </c>
      <c r="DM15" s="67">
        <f t="shared" si="3"/>
        <v>473.88686950000005</v>
      </c>
      <c r="DN15" s="23" t="s">
        <v>186</v>
      </c>
      <c r="DP15" s="74"/>
    </row>
    <row r="16" spans="1:120" ht="15.75" customHeight="1">
      <c r="A16" s="65" t="s">
        <v>21</v>
      </c>
      <c r="B16" s="32" t="s">
        <v>154</v>
      </c>
      <c r="C16" s="32" t="s">
        <v>95</v>
      </c>
      <c r="D16" s="32" t="s">
        <v>155</v>
      </c>
      <c r="E16" s="33" t="s">
        <v>201</v>
      </c>
      <c r="F16" s="39">
        <f>IFERROR(IF(A16="",0,VLOOKUP(A16,'Estoque-Imóvel'!A:AC,6,FALSE)),"ID não encontrado")</f>
        <v>1</v>
      </c>
      <c r="G16" s="40">
        <f>IF(F16=0,0,IF(F16="ID não encontrado",0,IFERROR(VLOOKUP($F$2,'BD - Itens x Peso'!$A:$B,2,FALSE),"Nome ou Peso não encontrado")))</f>
        <v>0.24</v>
      </c>
      <c r="H16" s="41">
        <f>IFERROR(IF(C16="","Cidade não foi inserida",IF(F16=0,0,VLOOKUP(C16,'BD - Valor Lavanderia Por Item'!A:R,2,FALSE))),"Cidade não encontrada")</f>
        <v>2.7519999999999998</v>
      </c>
      <c r="I16" s="42">
        <f>IFERROR(IF(AND('TaxaLimpeza (Proposta)'!$A16&lt;&gt;"", COUNTIF('Configuração-Imóvel'!$A:$A, $A16)&gt;0), H16*G16*F16,"ID não encontrado"),H16)</f>
        <v>0.66047999999999996</v>
      </c>
      <c r="J16" s="43">
        <f>IFERROR(IF(A16="",0,VLOOKUP(A16,'Estoque-Imóvel'!A:AC,7,FALSE)),"ID não encontrado")</f>
        <v>1</v>
      </c>
      <c r="K16" s="40">
        <f>IF(J16=0,0,IF(J16="ID não encontrado",0,IFERROR(VLOOKUP($J$2,'BD - Itens x Peso'!$A:$B,2,FALSE),"Nome ou Peso não encontrado")))</f>
        <v>0.16</v>
      </c>
      <c r="L16" s="41">
        <f>IFERROR(IF(C16="","Cidade não foi inserida",IF(J16=0,0,VLOOKUP(C16,'BD - Valor Lavanderia Por Item'!A:R,3,FALSE))),"Cidade não encontrada")</f>
        <v>3.5345</v>
      </c>
      <c r="M16" s="41">
        <f>IFERROR(IF(AND('TaxaLimpeza (Proposta)'!$A16&lt;&gt;"", COUNTIF('Configuração-Imóvel'!$A:$A, $A16)&gt;0), L16*K16*J16,"ID não encontrado"),Tabela1[[#This Row],[Valor por lavanderia '[R$/Kg']4]])</f>
        <v>0.56552000000000002</v>
      </c>
      <c r="N16" s="44">
        <f>IFERROR(IF(A16="",0,VLOOKUP(A16,'Estoque-Imóvel'!A:AC,8,FALSE)),"ID não encontrado")</f>
        <v>0</v>
      </c>
      <c r="O16" s="40">
        <f>IF(N16=0,0,IF(N16="ID não encontrado",0,IFERROR(VLOOKUP($N$2,'BD - Itens x Peso'!$A:$B,2,FALSE),"Nome ou Peso não encontrado")))</f>
        <v>0</v>
      </c>
      <c r="P16" s="42">
        <f>IFERROR(IF(C16="","Cidade não foi inserida",IF(N16=0,0,VLOOKUP(C16,'BD - Valor Lavanderia Por Item'!A:R,2,FALSE))),"Cidade não encontrada")</f>
        <v>0</v>
      </c>
      <c r="Q16" s="42">
        <f>IFERROR(IF(AND('TaxaLimpeza (Proposta)'!$A16&lt;&gt;"", COUNTIF('Configuração-Imóvel'!$A:$A, $A16)&gt;0), P16*O16*N16,"ID não encontrado"),Tabela1[[#This Row],[Valor por lavanderia '[R$/Kg']8]])</f>
        <v>0</v>
      </c>
      <c r="R16" s="44">
        <f>IFERROR(IF(A16="",0,VLOOKUP(A16,'Estoque-Imóvel'!A:AC,9,FALSE)),"ID não encontrado")</f>
        <v>4</v>
      </c>
      <c r="S16" s="40">
        <f>IF(R16=0,0,IF(R16="ID não encontrado",0,IFERROR(VLOOKUP($R$2,'BD - Itens x Peso'!$A:$B,2,FALSE),"Nome ou Peso não encontrado")))</f>
        <v>0.39</v>
      </c>
      <c r="T16" s="42">
        <f>IFERROR(IF(C16="","Cidade não foi inserida",IF(R16=0,0,VLOOKUP(C16,'BD - Valor Lavanderia Por Item'!A:R,4,FALSE))),"Cidade não encontrada")</f>
        <v>4.7865000000000002</v>
      </c>
      <c r="U16" s="42">
        <f>IFERROR(IF(AND('TaxaLimpeza (Proposta)'!$A16&lt;&gt;"", COUNTIF('Configuração-Imóvel'!$A:$A, $A16)&gt;0), T16*S16*R16,"ID não encontrado"),Tabela1[[#This Row],[Valor por lavanderia '[R$/Kg']12]])</f>
        <v>7.4669400000000001</v>
      </c>
      <c r="V16" s="44">
        <f>IFERROR(IF(A16="",0,VLOOKUP(A16,'Estoque-Imóvel'!A:AC,10,FALSE)),"ID não encontrado")</f>
        <v>0</v>
      </c>
      <c r="W16" s="40">
        <f>IF(V16=0,0,IF(V16="ID não encontrado",0,IFERROR(VLOOKUP($V$2,'BD - Itens x Peso'!$A:$B,2,FALSE),"Nome ou Peso não encontrado")))</f>
        <v>0</v>
      </c>
      <c r="X16" s="42">
        <f>IFERROR(IF(C16="","Cidade não foi inserida",IF(V16=0,0,VLOOKUP(C16,'BD - Valor Lavanderia Por Item'!A:R,3,FALSE))),"Cidade não encontrada")</f>
        <v>0</v>
      </c>
      <c r="Y16" s="42">
        <f>IFERROR(IF(AND('TaxaLimpeza (Proposta)'!$A16&lt;&gt;"", COUNTIF('Configuração-Imóvel'!$A:$A, $A16)&gt;0), X16*W16*V16,"ID não encontrado"),Tabela1[[#This Row],[Valor por lavanderia '[R$/Kg']16]])</f>
        <v>0</v>
      </c>
      <c r="Z16" s="44">
        <f>IFERROR(IF(A16="",0,VLOOKUP(A16,'Estoque-Imóvel'!A:AC,11,FALSE)),"ID não encontrado")</f>
        <v>0</v>
      </c>
      <c r="AA16" s="40">
        <f>IF(Z16=0,0,IF(Z16="ID não encontrado",0,IFERROR(VLOOKUP($Z$2,'BD - Itens x Peso'!$A:$B,2,FALSE),"Nome ou Peso não encontrado")))</f>
        <v>0</v>
      </c>
      <c r="AB16" s="42">
        <f>IFERROR(IF(C16="","Cidade não foi inserida",IF(Z16=0,0,VLOOKUP(C16,'BD - Valor Lavanderia Por Item'!A:R,3,FALSE))),"Cidade não encontrada")</f>
        <v>0</v>
      </c>
      <c r="AC16" s="42">
        <f>IFERROR(IF(AND('TaxaLimpeza (Proposta)'!$A16&lt;&gt;"", COUNTIF('Configuração-Imóvel'!$A:$A, $A16)&gt;0), AB16*AA16*Z16,"ID não encontrado"),Tabela1[[#This Row],[Valor por lavanderia '[R$/Kg']20]])</f>
        <v>0</v>
      </c>
      <c r="AD16" s="44">
        <f>IFERROR(IF(A16="",0,VLOOKUP(A16,'Estoque-Imóvel'!A:AC,12,FALSE)),"ID não encontrado")</f>
        <v>2</v>
      </c>
      <c r="AE16" s="40">
        <f>IF(AD16=0,0,IF(AD16="ID não encontrado",0,IFERROR(VLOOKUP($AD$2,'BD - Itens x Peso'!$A:$B,2,FALSE),"Nome ou Peso não encontrado")))</f>
        <v>1.01</v>
      </c>
      <c r="AF16" s="42">
        <f>IFERROR(IF(C16="","Cidade não foi inserida",IF(AD16=0,0,VLOOKUP(C16,'BD - Valor Lavanderia Por Item'!A:R,9,FALSE))),"Cidade não encontrada")</f>
        <v>9.3249999999999993</v>
      </c>
      <c r="AG16" s="42">
        <f>IFERROR(IF(AND('TaxaLimpeza (Proposta)'!$A16&lt;&gt;"", COUNTIF('Configuração-Imóvel'!$A:$A, $A16)&gt;0), AF16*AE16*AD16,"ID não encontrado"),Tabela1[[#This Row],[Valor por lavanderia '[R$/Kg']24]])</f>
        <v>18.836499999999997</v>
      </c>
      <c r="AH16" s="44">
        <f>IFERROR(IF(A16="",0,VLOOKUP(A16,'Estoque-Imóvel'!A:AC,13,FALSE)),"ID não encontrado")</f>
        <v>0</v>
      </c>
      <c r="AI16" s="40">
        <f>IF(AH16=0,0,IF(AH16="ID não encontrado",0,IFERROR(VLOOKUP($AH$2,'BD - Itens x Peso'!$A:$B,2,FALSE),"Nome ou Peso não encontrado")))</f>
        <v>0</v>
      </c>
      <c r="AJ16" s="42">
        <f>IFERROR(IF(C16="","Cidade não foi inserida",IF(AH16=0,0,VLOOKUP(C16,'BD - Valor Lavanderia Por Item'!A:R,6,FALSE))),"Cidade não encontrada")</f>
        <v>0</v>
      </c>
      <c r="AK16" s="42">
        <f>IFERROR(IF(AND('TaxaLimpeza (Proposta)'!$A16&lt;&gt;"", COUNTIF('Configuração-Imóvel'!$A:$A, $A16)&gt;0), AJ16*AI16*AH16,"ID não encontrado"),Tabela1[[#This Row],[Valor por lavanderia '[R$/Kg']28]])</f>
        <v>0</v>
      </c>
      <c r="AL16" s="44">
        <f>IFERROR(IF(A16="",0,VLOOKUP(A16,'Estoque-Imóvel'!A:AC,14,FALSE)),"ID não encontrado")</f>
        <v>0</v>
      </c>
      <c r="AM16" s="40">
        <f>IF(AL16=0,0,IF(AL16="ID não encontrado",0,IFERROR(VLOOKUP($AL$2,'BD - Itens x Peso'!$A:$B,2,FALSE),"Nome ou Peso não encontrado")))</f>
        <v>0</v>
      </c>
      <c r="AN16" s="42">
        <f>IFERROR(IF(C16="","Cidade não foi inserida",IF(AL16=0,0,VLOOKUP(C16,'BD - Valor Lavanderia Por Item'!A:R,8,FALSE))),"Cidade não encontrada")</f>
        <v>0</v>
      </c>
      <c r="AO16" s="42">
        <f>IFERROR(IF(AND('TaxaLimpeza (Proposta)'!$A16&lt;&gt;"", COUNTIF('Configuração-Imóvel'!$A:$A, $A16)&gt;0), AN16*AM16*AL16,"ID não encontrado"),Tabela1[[#This Row],[Valor por lavanderia '[R$/Kg']32]])</f>
        <v>0</v>
      </c>
      <c r="AP16" s="44">
        <f>IFERROR(IF(A16="",0,VLOOKUP(A16,'Estoque-Imóvel'!A:AC,15,FALSE)),"ID não encontrado")</f>
        <v>0</v>
      </c>
      <c r="AQ16" s="40">
        <f>IF(AP16=0,0,IF(AP16="ID não encontrado",0,IFERROR(VLOOKUP($AP$2,'BD - Itens x Peso'!$A:$B,2,FALSE),"Nome ou Peso não encontrado")))</f>
        <v>0</v>
      </c>
      <c r="AR16" s="42">
        <f>IFERROR(IF(C16="","Cidade não foi inserida",IF(AP16=0,0,VLOOKUP(C16,'BD - Valor Lavanderia Por Item'!A:R,8,FALSE))),"Cidade não encontrada")</f>
        <v>0</v>
      </c>
      <c r="AS16" s="42">
        <f>IFERROR(IF(AND('TaxaLimpeza (Proposta)'!$A16&lt;&gt;"", COUNTIF('Configuração-Imóvel'!$A:$A, $A16)&gt;0), AR16*AQ16*AP16,"ID não encontrado"),Tabela1[[#This Row],[Valor por lavanderia '[R$/Kg']36]])</f>
        <v>0</v>
      </c>
      <c r="AT16" s="44">
        <f>IFERROR(IF(A16="",0,VLOOKUP(A16,'Estoque-Imóvel'!A:AC,16,FALSE)),"ID não encontrado")</f>
        <v>4</v>
      </c>
      <c r="AU16" s="40">
        <f>IF(AT16=0,0,IF(AT16="ID não encontrado",0,IFERROR(VLOOKUP($AT$2,'BD - Itens x Peso'!$A:$B,2,FALSE),"Nome ou Peso não encontrado")))</f>
        <v>0.3</v>
      </c>
      <c r="AV16" s="42">
        <f>IFERROR(IF(C16="","Cidade não foi inserida",IF(AT16=0,0,VLOOKUP(C16,'BD - Valor Lavanderia Por Item'!A:R,7,FALSE))),"Cidade não encontrada")</f>
        <v>6.9774999999999991</v>
      </c>
      <c r="AW16" s="42">
        <f>IFERROR(IF(AND('TaxaLimpeza (Proposta)'!$A16&lt;&gt;"", COUNTIF('Configuração-Imóvel'!$A:$A, $A16)&gt;0), AV16*AU16*AT16,"ID não encontrado"),Tabela1[[#This Row],[Valor por lavanderia '[R$/Kg']40]])</f>
        <v>8.3729999999999993</v>
      </c>
      <c r="AX16" s="44">
        <f>IFERROR(IF(A16="",0,VLOOKUP(A16,'Estoque-Imóvel'!A:AC,17,FALSE)),"Code não encontrado")</f>
        <v>4</v>
      </c>
      <c r="AY16" s="40">
        <f>IF(AX16=0,0,IF(AX16="ID não encontrado",0,IFERROR(VLOOKUP($AX$2,'BD - Itens x Peso'!$A:$B,2,FALSE),"Nome ou Peso não encontrado")))</f>
        <v>0.19</v>
      </c>
      <c r="AZ16" s="42">
        <f>IFERROR(IF(C16="","Cidade não foi inserida",IF(AX16=0,0,VLOOKUP(C16,'BD - Valor Lavanderia Por Item'!A:R,5,FALSE))),"Cidade não encontrada")</f>
        <v>3.0649999999999999</v>
      </c>
      <c r="BA16" s="42">
        <f>IFERROR(IF(AND('TaxaLimpeza (Proposta)'!$A16&lt;&gt;"", COUNTIF('Configuração-Imóvel'!$A:$A, $A16)&gt;0), AZ16*AY16*AX16,"ID não encontrado"),Tabela1[[#This Row],[Valor por lavanderia '[R$/Kg']44]])</f>
        <v>2.3294000000000001</v>
      </c>
      <c r="BB16" s="44">
        <f>IFERROR(IF(A16="",0,VLOOKUP(A16,'Estoque-Imóvel'!A:AC,18,FALSE)),"ID não encontrado")</f>
        <v>0</v>
      </c>
      <c r="BC16" s="40">
        <f>IF(BB16=0,0,IF(BB16="ID não encontrado",0,IFERROR(VLOOKUP($BB$2,'BD - Itens x Peso'!$A:$B,2,FALSE),"Nome ou Peso não encontrado")))</f>
        <v>0</v>
      </c>
      <c r="BD16" s="42">
        <f>IFERROR(IF(C16="","Cidade não foi inserida",IF(BB16=0,0,VLOOKUP(C16,'BD - Valor Lavanderia Por Item'!A:R,11,FALSE))),"Cidade não encontrada")</f>
        <v>0</v>
      </c>
      <c r="BE16" s="42">
        <f>IFERROR(IF(AND('TaxaLimpeza (Proposta)'!$A16&lt;&gt;"", COUNTIF('Configuração-Imóvel'!$A:$A, $A16)&gt;0), BD16*BC16*BB16,"ID não encontrado"),Tabela1[[#This Row],[Valor por lavanderia '[R$/Kg']48]])</f>
        <v>0</v>
      </c>
      <c r="BF16" s="44">
        <f>IFERROR(IF(A16="",0,VLOOKUP(A16,'Estoque-Imóvel'!A:AC,19,FALSE)),"ID não encontrado")</f>
        <v>0</v>
      </c>
      <c r="BG16" s="40">
        <f>IF(BF16=0,0,IF(BF16="ID não encontrado",0,IFERROR(VLOOKUP($BF$2,'BD - Itens x Peso'!$A:$B,2,FALSE),"Nome ou Peso não encontrado")))</f>
        <v>0</v>
      </c>
      <c r="BH16" s="42">
        <f>IFERROR(IF(C16="","Cidade não foi inserida",IF(BF16=0,0,VLOOKUP(C16,'BD - Valor Lavanderia Por Item'!A:R,13,FALSE))),"Cidade não encontrada")</f>
        <v>0</v>
      </c>
      <c r="BI16" s="42">
        <f>IFERROR(IF(AND('TaxaLimpeza (Proposta)'!$A16&lt;&gt;"", COUNTIF('Configuração-Imóvel'!$A:$A, $A16)&gt;0), BH16*BG16*BF16,"ID não encontrado"),Tabela1[[#This Row],[Valor por lavanderia '[R$/Kg']52]])</f>
        <v>0</v>
      </c>
      <c r="BJ16" s="44">
        <f>IFERROR(IF(A16="",0,VLOOKUP(A16,'Estoque-Imóvel'!A:AC,20,FALSE)),"ID não encontrado")</f>
        <v>0</v>
      </c>
      <c r="BK16" s="40">
        <f>IF(BJ16=0,0,IF(BJ16="ID não encontrado",0,IFERROR(VLOOKUP($BJ$2,'BD - Itens x Peso'!$A:$B,2,FALSE),"Nome ou Peso não encontrado")))</f>
        <v>0</v>
      </c>
      <c r="BL16" s="42">
        <f>IFERROR(IF(C16="","Cidade não foi inserida",IF(BJ16=0,0,VLOOKUP(C16,'BD - Valor Lavanderia Por Item'!A:R,13,FALSE))),"Cidade não encontrada")</f>
        <v>0</v>
      </c>
      <c r="BM16" s="42">
        <f>IFERROR(IF(AND('TaxaLimpeza (Proposta)'!$A16&lt;&gt;"", COUNTIF('Configuração-Imóvel'!$A:$A, $A16)&gt;0), BL16*BK16*BJ16,"ID não encontrado"),Tabela1[[#This Row],[Valor por lavanderia '[R$/Kg']56]])</f>
        <v>0</v>
      </c>
      <c r="BN16" s="44">
        <f>IFERROR(IF(A16="",0,VLOOKUP(A16,'Estoque-Imóvel'!A:AC,21,FALSE)),"ID não encontrado")</f>
        <v>0</v>
      </c>
      <c r="BO16" s="40">
        <f>IF(BN16=0,0,IF(BN16="ID não encontrado",0,IFERROR(VLOOKUP($BN$2,'BD - Itens x Peso'!$A:$B,2,FALSE),"Nome ou Peso não encontrado")))</f>
        <v>0</v>
      </c>
      <c r="BP16" s="42">
        <f>IFERROR(IF(C16="","Cidade não foi inserida",IF(BN16=0,0,VLOOKUP(C16,'BD - Valor Lavanderia Por Item'!A:R,13,FALSE))),"Cidade não encontrada")</f>
        <v>0</v>
      </c>
      <c r="BQ16" s="42">
        <f>IFERROR(IF(AND('TaxaLimpeza (Proposta)'!$A16&lt;&gt;"", COUNTIF('Configuração-Imóvel'!$A:$A, $A16)&gt;0), BP16*BO16*BN16,"ID não encontrado"),Tabela1[[#This Row],[Valor por lavanderia '[R$/Kg']60]])</f>
        <v>0</v>
      </c>
      <c r="BR16" s="44">
        <f>IFERROR(IF(A16="",0,VLOOKUP(A16,'Estoque-Imóvel'!A:AC,22,FALSE)),"ID não encontrado")</f>
        <v>0</v>
      </c>
      <c r="BS16" s="40">
        <f>IF(BR16=0,0,IF(BR16="ID não encontrado",0,IFERROR(VLOOKUP($BR$2,'BD - Itens x Peso'!$A:$B,2,FALSE),"Nome ou Peso não encontrado. Utilizado o Edredom Solteiro como referência")))</f>
        <v>0</v>
      </c>
      <c r="BT16" s="42">
        <f>IFERROR(IF(C16="","Cidade não foi inserida",IF(BR16=0,0,VLOOKUP(C16,'BD - Valor Lavanderia Por Item'!A:R,11,FALSE))),"Cidade não encontrada")</f>
        <v>0</v>
      </c>
      <c r="BU16" s="42">
        <f>IFERROR(IF(AND('TaxaLimpeza (Proposta)'!$A16&lt;&gt;"", COUNTIF('Configuração-Imóvel'!$A:$A, $A16)&gt;0), BT16*BS16*BR16,"ID não encontrado"),BT16*VLOOKUP($BB$2,'BD - Itens x Peso'!$A:$B,2,FALSE)*BR16)</f>
        <v>0</v>
      </c>
      <c r="BV16" s="44">
        <f>IFERROR(IF(A16="",0,VLOOKUP(A16,'Estoque-Imóvel'!A:AC,23,FALSE)),"ID não encontrado")</f>
        <v>0</v>
      </c>
      <c r="BW16" s="40">
        <f>IF(BV16=0,0,IF(BV16="ID não encontrado",0,IFERROR(VLOOKUP($BV$2,'BD - Itens x Peso'!$A:$B,2,FALSE),"Nome ou Peso não encontrado. Utilizado o Edredom Queen Size como referência")))</f>
        <v>0</v>
      </c>
      <c r="BX16" s="42">
        <f>IFERROR(IF(C16="","Cidade não foi inserida",IF(BV16=0,0,VLOOKUP(C16,'BD - Valor Lavanderia Por Item'!A:R,13,FALSE))),"Cidade não encontrada")</f>
        <v>0</v>
      </c>
      <c r="BY16" s="42">
        <f>IFERROR(IF(AND('TaxaLimpeza (Proposta)'!$A16&lt;&gt;"",COUNTIF('Configuração-Imóvel'!$A:$A,$A16)&gt;0),BX16*BW16*BV16,"ID não encontrado"),BX16*(VLOOKUP($BF$2,'BD - Itens x Peso'!$A:$B,2,FALSE)*BV16))</f>
        <v>0</v>
      </c>
      <c r="BZ16" s="44">
        <f>IFERROR(IF(A16="",0,VLOOKUP(A16,'Estoque-Imóvel'!A:AC,24,FALSE)),"ID não encontrado")</f>
        <v>0</v>
      </c>
      <c r="CA16" s="40">
        <f>IF(BZ16=0,0,IF(BZ16="ID não encontrado",0,IFERROR(VLOOKUP($BZ$2,'BD - Itens x Peso'!$A:$B,2,FALSE),"Nome ou Peso não encontrado. Utilizado o peso do Edredom Casal como referência")))</f>
        <v>0</v>
      </c>
      <c r="CB16" s="42">
        <f>IFERROR(IF(C16="","Cidade não foi inserida",IF(BZ16=0,0,VLOOKUP(C16,'BD - Valor Lavanderia Por Item'!A:R,12,FALSE))),"Cidade não encontrada")</f>
        <v>0</v>
      </c>
      <c r="CC16" s="42">
        <f>IFERROR(IF(AND('TaxaLimpeza (Proposta)'!$A16&lt;&gt;"", COUNTIF('Configuração-Imóvel'!$A:$A, $A16)&gt;0), CB16*CA16*BZ16,"ID não encontrado"),VLOOKUP($BN$2,'BD - Itens x Peso'!$A:$B,2,FALSE)*CB16*BZ16)</f>
        <v>0</v>
      </c>
      <c r="CD16" s="44">
        <f>IFERROR(IF(A16="",0,VLOOKUP(A16,'Estoque-Imóvel'!A:AC,25,FALSE)),"ID não encontrado")</f>
        <v>0</v>
      </c>
      <c r="CE16" s="40">
        <f>IF(CD16=0,0,IF(CD16="ID não encontrado",0,IFERROR(VLOOKUP($CD$2,'BD - Itens x Peso'!$A:$B,2,FALSE),"Nome ou Peso não encontrado. Utilizado o Edredom Queen Size como referência")))</f>
        <v>0</v>
      </c>
      <c r="CF16" s="42">
        <f>IFERROR(IF(C16="","Cidade não foi inserida",IF(CD16=0,0,VLOOKUP(C16,'BD - Valor Lavanderia Por Item'!A:R,13,FALSE))),"Cidade não encontrada")</f>
        <v>0</v>
      </c>
      <c r="CG16" s="42">
        <f>IFERROR(IF(AND('TaxaLimpeza (Proposta)'!$A16&lt;&gt;"", COUNTIF('Configuração-Imóvel'!$A:$A, $A16)&gt;0), CF16*CE16*CD16,"ID não encontrado"),VLOOKUP($BF$2,'BD - Itens x Peso'!$A:$B,2,FALSE)*CF16*CD16)</f>
        <v>0</v>
      </c>
      <c r="CH16" s="44">
        <f>IFERROR(IF(A16="",0,VLOOKUP(A16,'Estoque-Imóvel'!A:AC,26,FALSE)),"ID não encontrado")</f>
        <v>0</v>
      </c>
      <c r="CI16" s="40">
        <f>IF(CH16=0,0,IF(CH16="ID não encontrado",0,IFERROR(VLOOKUP($CH$2,'BD - Itens x Peso'!$A:$B,2,FALSE),"Nome ou Peso não encontrado")))</f>
        <v>0</v>
      </c>
      <c r="CJ16" s="42">
        <f>IFERROR(IF(C16="","Cidade não foi inserida",IF(CH16=0,0,VLOOKUP(C16,'BD - Valor Lavanderia Por Item'!A:R,15,FALSE))),"Cidade não encontrada")</f>
        <v>0</v>
      </c>
      <c r="CK16" s="42">
        <f>IFERROR(IF(AND('TaxaLimpeza (Proposta)'!$A16&lt;&gt;"", COUNTIF('Configuração-Imóvel'!$A:$A, $A16)&gt;0), CJ16*CI16*CH16,"ID não encontrado"),Tabela1[[#This Row],[Valor por lavanderia '[R$/Kg']80]])</f>
        <v>0</v>
      </c>
      <c r="CL16" s="44">
        <f>IFERROR(IF(A16="",0,VLOOKUP(A16,'Estoque-Imóvel'!A:AC,27,FALSE)),"ID não encontrado")</f>
        <v>0</v>
      </c>
      <c r="CM16" s="40">
        <f>IF(CL16=0,0,IF(CL16="ID não encontrado",0,IFERROR(VLOOKUP($CL$2,'BD - Itens x Peso'!$A:$B,2,FALSE),"Nome ou Peso não encontrado")))</f>
        <v>0</v>
      </c>
      <c r="CN16" s="42">
        <f>IFERROR(IF(C16="","Cidade não foi inserida",IF(CL16=0,0,VLOOKUP(C16,'BD - Valor Lavanderia Por Item'!A:R,17,FALSE))),"Cidade não encontrada")</f>
        <v>0</v>
      </c>
      <c r="CO16" s="42">
        <f>IFERROR(IF(AND('TaxaLimpeza (Proposta)'!$A16&lt;&gt;"", COUNTIF('Configuração-Imóvel'!$A:$A, $A16)&gt;0), CN16*CM16*CL16,"ID não encontrado"),Tabela1[[#This Row],[Valor por lavanderia '[R$/Kg']84]])</f>
        <v>0</v>
      </c>
      <c r="CP16" s="44">
        <f>IFERROR(IF(A16="",0,VLOOKUP(A16,'Estoque-Imóvel'!A:AC,28,FALSE)),"ID não encontrado")</f>
        <v>0</v>
      </c>
      <c r="CQ16" s="40">
        <f>IF(CP16=0,0,IF(CP16="ID não encontrado",0,IFERROR(VLOOKUP($CP$2,'BD - Itens x Peso'!$A:$B,2,FALSE),"Nome ou Peso não encontrado")))</f>
        <v>0</v>
      </c>
      <c r="CR16" s="42">
        <f>IFERROR(IF(C16="","Cidade não foi inserida",IF(CP16=0,0,VLOOKUP(C16,'BD - Valor Lavanderia Por Item'!A:R,18,FALSE))),"Cidade não encontrada")</f>
        <v>0</v>
      </c>
      <c r="CS16" s="42">
        <f>IFERROR(IF(AND('TaxaLimpeza (Proposta)'!$A16&lt;&gt;"", COUNTIF('Configuração-Imóvel'!$A:$A, $A16)&gt;0), CR16*CQ16*CP16,"ID não encontrado"),Tabela1[[#This Row],[Valor por lavanderia '[R$/Kg']3]])</f>
        <v>0</v>
      </c>
      <c r="CT16" s="44">
        <f>IFERROR(IF(A16="",0,VLOOKUP(A16,'Estoque-Imóvel'!A:AC,29,FALSE)),"ID não encontrado")</f>
        <v>0</v>
      </c>
      <c r="CU16" s="40">
        <f>IF(CT16=0,0,IF(CT16="ID não encontrado",0,IFERROR(VLOOKUP($CT$2,'BD - Itens x Peso'!$A:$B,2,FALSE),"Nome ou Peso não encontrado")))</f>
        <v>0</v>
      </c>
      <c r="CV16" s="42">
        <f>IFERROR(IF(C16="","Cidade não foi inserida",IF(CT16=0,0,VLOOKUP(C16,'BD - Valor Lavanderia Por Item'!A:R,16,FALSE))),"Cidade não encontrada")</f>
        <v>0</v>
      </c>
      <c r="CW16" s="45">
        <f>IFERROR(IF(AND('TaxaLimpeza (Proposta)'!$A16&lt;&gt;"", COUNTIF('Configuração-Imóvel'!$A:$A, $A16)&gt;0), CV16*CU16*CT16,"ID não encontrado"),Tabela1[[#This Row],[Valor por lavanderia '[R$/Kg']2]])</f>
        <v>0</v>
      </c>
      <c r="CX16" s="34">
        <f t="shared" si="1"/>
        <v>38.231839999999998</v>
      </c>
      <c r="CY16" s="68">
        <f>IFERROR(IF(A16="","",(VLOOKUP(A16,'Configuração-Imóvel'!$A$2:$R$21,16,FALSE)+VLOOKUP(A16,'Configuração-Imóvel'!$A$2:$R$21,17,FALSE))*VLOOKUP($CY$3,'BD - Amenities'!$B$2:$E$7,4,FALSE)),"ID não encontrado")</f>
        <v>0.5</v>
      </c>
      <c r="CZ16" s="69">
        <f>IFERROR(IF(A16="","",(VLOOKUP(A16,'Configuração-Imóvel'!$A$2:$R$21,16,FALSE)+VLOOKUP(A16,'Configuração-Imóvel'!$A$2:$R$21,17,FALSE))*VLOOKUP($CZ$3,'BD - Amenities'!$B$2:$E$7,4,FALSE)),"ID não encontrado")</f>
        <v>4</v>
      </c>
      <c r="DA16" s="69">
        <f>IFERROR(IF(A16="","",VLOOKUP(A16,'Configuração-Imóvel'!$A$2:$R$21,16,FALSE)*VLOOKUP($DA$3,'BD - Amenities'!$B$2:$E$7,4,FALSE)),"ID não encontrado")</f>
        <v>1.5</v>
      </c>
      <c r="DB16" s="69">
        <f>IFERROR(IF(A16="","",VLOOKUP(A16,'Configuração-Imóvel'!$A$2:$R$21,16,FALSE)*VLOOKUP($DB$3,'BD - Amenities'!$B$2:$E$7,4,FALSE)),"ID não encontrado")</f>
        <v>1.5</v>
      </c>
      <c r="DC16" s="35">
        <f t="shared" si="2"/>
        <v>7.5</v>
      </c>
      <c r="DD16" s="37">
        <f>IFERROR(IF(A16="","",VLOOKUP($DD$3,'BD - Material de Limpeza'!$A:$D,4,FALSE)),"ID não encontrado")</f>
        <v>2</v>
      </c>
      <c r="DE16" s="38">
        <f>IFERROR(IF(A16="","",VLOOKUP($DE$3,'BD - Material de Limpeza'!$A:$D,4,FALSE)),"ID não encontrado")</f>
        <v>2</v>
      </c>
      <c r="DF16" s="38">
        <f>IFERROR(IF(A16="","",VLOOKUP($DF$3,'BD - Material de Limpeza'!$A:$D,4,FALSE)),"ID não encontrado")</f>
        <v>1</v>
      </c>
      <c r="DG16" s="38">
        <f>IFERROR(IF(A16="","",VLOOKUP($DG$3,'BD - Material de Limpeza'!$A:$D,4,FALSE)),"ID não encontrado")</f>
        <v>1</v>
      </c>
      <c r="DH16" s="38">
        <f>IFERROR(IF(A16="","",VLOOKUP($DH$3,'BD - Material de Limpeza'!$A:$D,4,FALSE)),"ID não encontrado")</f>
        <v>1</v>
      </c>
      <c r="DI16" s="38">
        <f>IFERROR(IF(A16="","",VLOOKUP($DI$3,'BD - Material de Limpeza'!$A:$D,4,FALSE)),"ID não encontrado")</f>
        <v>1</v>
      </c>
      <c r="DJ16" s="38">
        <f>IFERROR(IF(A16="","",VLOOKUP($DJ$3,'BD - Material de Limpeza'!$A:$D,4,FALSE)),"ID não encontrado")</f>
        <v>1</v>
      </c>
      <c r="DK16" s="36">
        <f t="shared" si="0"/>
        <v>9</v>
      </c>
      <c r="DL16" s="72" cm="1">
        <f t="array" ref="DL16">IFERROR(IF('TaxaLimpeza (Proposta)'!$A16="","",INDEX('BD - Valor Limpeza Diarista'!B:B,INDEX('Configuração-Imóvel'!O:O,MATCH(A16,'Configuração-Imóvel'!A:A,0))+1,0)),"ID não encontrado")</f>
        <v>220</v>
      </c>
      <c r="DM16" s="67">
        <f t="shared" si="3"/>
        <v>302.20502399999998</v>
      </c>
      <c r="DN16" s="23" t="s">
        <v>187</v>
      </c>
      <c r="DP16" s="74"/>
    </row>
    <row r="17" spans="1:120" ht="15.75" customHeight="1">
      <c r="A17" s="65" t="s">
        <v>22</v>
      </c>
      <c r="B17" s="32" t="s">
        <v>154</v>
      </c>
      <c r="C17" s="32" t="s">
        <v>95</v>
      </c>
      <c r="D17" s="32" t="s">
        <v>155</v>
      </c>
      <c r="E17" s="33" t="s">
        <v>201</v>
      </c>
      <c r="F17" s="39">
        <f>IFERROR(IF(A17="",0,VLOOKUP(A17,'Estoque-Imóvel'!A:AC,6,FALSE)),"ID não encontrado")</f>
        <v>1</v>
      </c>
      <c r="G17" s="40">
        <f>IF(F17=0,0,IF(F17="ID não encontrado",0,IFERROR(VLOOKUP($F$2,'BD - Itens x Peso'!$A:$B,2,FALSE),"Nome ou Peso não encontrado")))</f>
        <v>0.24</v>
      </c>
      <c r="H17" s="41">
        <f>IFERROR(IF(C17="","Cidade não foi inserida",IF(F17=0,0,VLOOKUP(C17,'BD - Valor Lavanderia Por Item'!A:R,2,FALSE))),"Cidade não encontrada")</f>
        <v>2.7519999999999998</v>
      </c>
      <c r="I17" s="42">
        <f>IFERROR(IF(AND('TaxaLimpeza (Proposta)'!$A17&lt;&gt;"", COUNTIF('Configuração-Imóvel'!$A:$A, $A17)&gt;0), H17*G17*F17,"ID não encontrado"),H17)</f>
        <v>0.66047999999999996</v>
      </c>
      <c r="J17" s="43">
        <f>IFERROR(IF(A17="",0,VLOOKUP(A17,'Estoque-Imóvel'!A:AC,7,FALSE)),"ID não encontrado")</f>
        <v>1</v>
      </c>
      <c r="K17" s="40">
        <f>IF(J17=0,0,IF(J17="ID não encontrado",0,IFERROR(VLOOKUP($J$2,'BD - Itens x Peso'!$A:$B,2,FALSE),"Nome ou Peso não encontrado")))</f>
        <v>0.16</v>
      </c>
      <c r="L17" s="41">
        <f>IFERROR(IF(C17="","Cidade não foi inserida",IF(J17=0,0,VLOOKUP(C17,'BD - Valor Lavanderia Por Item'!A:R,3,FALSE))),"Cidade não encontrada")</f>
        <v>3.5345</v>
      </c>
      <c r="M17" s="41">
        <f>IFERROR(IF(AND('TaxaLimpeza (Proposta)'!$A17&lt;&gt;"", COUNTIF('Configuração-Imóvel'!$A:$A, $A17)&gt;0), L17*K17*J17,"ID não encontrado"),Tabela1[[#This Row],[Valor por lavanderia '[R$/Kg']4]])</f>
        <v>0.56552000000000002</v>
      </c>
      <c r="N17" s="44">
        <f>IFERROR(IF(A17="",0,VLOOKUP(A17,'Estoque-Imóvel'!A:AC,8,FALSE)),"ID não encontrado")</f>
        <v>0</v>
      </c>
      <c r="O17" s="40">
        <f>IF(N17=0,0,IF(N17="ID não encontrado",0,IFERROR(VLOOKUP($N$2,'BD - Itens x Peso'!$A:$B,2,FALSE),"Nome ou Peso não encontrado")))</f>
        <v>0</v>
      </c>
      <c r="P17" s="42">
        <f>IFERROR(IF(C17="","Cidade não foi inserida",IF(N17=0,0,VLOOKUP(C17,'BD - Valor Lavanderia Por Item'!A:R,2,FALSE))),"Cidade não encontrada")</f>
        <v>0</v>
      </c>
      <c r="Q17" s="42">
        <f>IFERROR(IF(AND('TaxaLimpeza (Proposta)'!$A17&lt;&gt;"", COUNTIF('Configuração-Imóvel'!$A:$A, $A17)&gt;0), P17*O17*N17,"ID não encontrado"),Tabela1[[#This Row],[Valor por lavanderia '[R$/Kg']8]])</f>
        <v>0</v>
      </c>
      <c r="R17" s="44">
        <f>IFERROR(IF(A17="",0,VLOOKUP(A17,'Estoque-Imóvel'!A:AC,9,FALSE)),"ID não encontrado")</f>
        <v>4</v>
      </c>
      <c r="S17" s="40">
        <f>IF(R17=0,0,IF(R17="ID não encontrado",0,IFERROR(VLOOKUP($R$2,'BD - Itens x Peso'!$A:$B,2,FALSE),"Nome ou Peso não encontrado")))</f>
        <v>0.39</v>
      </c>
      <c r="T17" s="42">
        <f>IFERROR(IF(C17="","Cidade não foi inserida",IF(R17=0,0,VLOOKUP(C17,'BD - Valor Lavanderia Por Item'!A:R,4,FALSE))),"Cidade não encontrada")</f>
        <v>4.7865000000000002</v>
      </c>
      <c r="U17" s="42">
        <f>IFERROR(IF(AND('TaxaLimpeza (Proposta)'!$A17&lt;&gt;"", COUNTIF('Configuração-Imóvel'!$A:$A, $A17)&gt;0), T17*S17*R17,"ID não encontrado"),Tabela1[[#This Row],[Valor por lavanderia '[R$/Kg']12]])</f>
        <v>7.4669400000000001</v>
      </c>
      <c r="V17" s="44">
        <f>IFERROR(IF(A17="",0,VLOOKUP(A17,'Estoque-Imóvel'!A:AC,10,FALSE)),"ID não encontrado")</f>
        <v>0</v>
      </c>
      <c r="W17" s="40">
        <f>IF(V17=0,0,IF(V17="ID não encontrado",0,IFERROR(VLOOKUP($V$2,'BD - Itens x Peso'!$A:$B,2,FALSE),"Nome ou Peso não encontrado")))</f>
        <v>0</v>
      </c>
      <c r="X17" s="42">
        <f>IFERROR(IF(C17="","Cidade não foi inserida",IF(V17=0,0,VLOOKUP(C17,'BD - Valor Lavanderia Por Item'!A:R,3,FALSE))),"Cidade não encontrada")</f>
        <v>0</v>
      </c>
      <c r="Y17" s="42">
        <f>IFERROR(IF(AND('TaxaLimpeza (Proposta)'!$A17&lt;&gt;"", COUNTIF('Configuração-Imóvel'!$A:$A, $A17)&gt;0), X17*W17*V17,"ID não encontrado"),Tabela1[[#This Row],[Valor por lavanderia '[R$/Kg']16]])</f>
        <v>0</v>
      </c>
      <c r="Z17" s="44">
        <f>IFERROR(IF(A17="",0,VLOOKUP(A17,'Estoque-Imóvel'!A:AC,11,FALSE)),"ID não encontrado")</f>
        <v>0</v>
      </c>
      <c r="AA17" s="40">
        <f>IF(Z17=0,0,IF(Z17="ID não encontrado",0,IFERROR(VLOOKUP($Z$2,'BD - Itens x Peso'!$A:$B,2,FALSE),"Nome ou Peso não encontrado")))</f>
        <v>0</v>
      </c>
      <c r="AB17" s="42">
        <f>IFERROR(IF(C17="","Cidade não foi inserida",IF(Z17=0,0,VLOOKUP(C17,'BD - Valor Lavanderia Por Item'!A:R,3,FALSE))),"Cidade não encontrada")</f>
        <v>0</v>
      </c>
      <c r="AC17" s="42">
        <f>IFERROR(IF(AND('TaxaLimpeza (Proposta)'!$A17&lt;&gt;"", COUNTIF('Configuração-Imóvel'!$A:$A, $A17)&gt;0), AB17*AA17*Z17,"ID não encontrado"),Tabela1[[#This Row],[Valor por lavanderia '[R$/Kg']20]])</f>
        <v>0</v>
      </c>
      <c r="AD17" s="44">
        <f>IFERROR(IF(A17="",0,VLOOKUP(A17,'Estoque-Imóvel'!A:AC,12,FALSE)),"ID não encontrado")</f>
        <v>1</v>
      </c>
      <c r="AE17" s="40">
        <f>IF(AD17=0,0,IF(AD17="ID não encontrado",0,IFERROR(VLOOKUP($AD$2,'BD - Itens x Peso'!$A:$B,2,FALSE),"Nome ou Peso não encontrado")))</f>
        <v>1.01</v>
      </c>
      <c r="AF17" s="42">
        <f>IFERROR(IF(C17="","Cidade não foi inserida",IF(AD17=0,0,VLOOKUP(C17,'BD - Valor Lavanderia Por Item'!A:R,9,FALSE))),"Cidade não encontrada")</f>
        <v>9.3249999999999993</v>
      </c>
      <c r="AG17" s="42">
        <f>IFERROR(IF(AND('TaxaLimpeza (Proposta)'!$A17&lt;&gt;"", COUNTIF('Configuração-Imóvel'!$A:$A, $A17)&gt;0), AF17*AE17*AD17,"ID não encontrado"),Tabela1[[#This Row],[Valor por lavanderia '[R$/Kg']24]])</f>
        <v>9.4182499999999987</v>
      </c>
      <c r="AH17" s="44">
        <f>IFERROR(IF(A17="",0,VLOOKUP(A17,'Estoque-Imóvel'!A:AC,13,FALSE)),"ID não encontrado")</f>
        <v>0</v>
      </c>
      <c r="AI17" s="40">
        <f>IF(AH17=0,0,IF(AH17="ID não encontrado",0,IFERROR(VLOOKUP($AH$2,'BD - Itens x Peso'!$A:$B,2,FALSE),"Nome ou Peso não encontrado")))</f>
        <v>0</v>
      </c>
      <c r="AJ17" s="42">
        <f>IFERROR(IF(C17="","Cidade não foi inserida",IF(AH17=0,0,VLOOKUP(C17,'BD - Valor Lavanderia Por Item'!A:R,6,FALSE))),"Cidade não encontrada")</f>
        <v>0</v>
      </c>
      <c r="AK17" s="42">
        <f>IFERROR(IF(AND('TaxaLimpeza (Proposta)'!$A17&lt;&gt;"", COUNTIF('Configuração-Imóvel'!$A:$A, $A17)&gt;0), AJ17*AI17*AH17,"ID não encontrado"),Tabela1[[#This Row],[Valor por lavanderia '[R$/Kg']28]])</f>
        <v>0</v>
      </c>
      <c r="AL17" s="44">
        <f>IFERROR(IF(A17="",0,VLOOKUP(A17,'Estoque-Imóvel'!A:AC,14,FALSE)),"ID não encontrado")</f>
        <v>2</v>
      </c>
      <c r="AM17" s="40">
        <f>IF(AL17=0,0,IF(AL17="ID não encontrado",0,IFERROR(VLOOKUP($AL$2,'BD - Itens x Peso'!$A:$B,2,FALSE),"Nome ou Peso não encontrado")))</f>
        <v>0.3</v>
      </c>
      <c r="AN17" s="42">
        <f>IFERROR(IF(C17="","Cidade não foi inserida",IF(AL17=0,0,VLOOKUP(C17,'BD - Valor Lavanderia Por Item'!A:R,8,FALSE))),"Cidade não encontrada")</f>
        <v>8.5425000000000004</v>
      </c>
      <c r="AO17" s="42">
        <f>IFERROR(IF(AND('TaxaLimpeza (Proposta)'!$A17&lt;&gt;"", COUNTIF('Configuração-Imóvel'!$A:$A, $A17)&gt;0), AN17*AM17*AL17,"ID não encontrado"),Tabela1[[#This Row],[Valor por lavanderia '[R$/Kg']32]])</f>
        <v>5.1254999999999997</v>
      </c>
      <c r="AP17" s="44">
        <f>IFERROR(IF(A17="",0,VLOOKUP(A17,'Estoque-Imóvel'!A:AC,15,FALSE)),"ID não encontrado")</f>
        <v>0</v>
      </c>
      <c r="AQ17" s="40">
        <f>IF(AP17=0,0,IF(AP17="ID não encontrado",0,IFERROR(VLOOKUP($AP$2,'BD - Itens x Peso'!$A:$B,2,FALSE),"Nome ou Peso não encontrado")))</f>
        <v>0</v>
      </c>
      <c r="AR17" s="42">
        <f>IFERROR(IF(C17="","Cidade não foi inserida",IF(AP17=0,0,VLOOKUP(C17,'BD - Valor Lavanderia Por Item'!A:R,8,FALSE))),"Cidade não encontrada")</f>
        <v>0</v>
      </c>
      <c r="AS17" s="42">
        <f>IFERROR(IF(AND('TaxaLimpeza (Proposta)'!$A17&lt;&gt;"", COUNTIF('Configuração-Imóvel'!$A:$A, $A17)&gt;0), AR17*AQ17*AP17,"ID não encontrado"),Tabela1[[#This Row],[Valor por lavanderia '[R$/Kg']36]])</f>
        <v>0</v>
      </c>
      <c r="AT17" s="44">
        <f>IFERROR(IF(A17="",0,VLOOKUP(A17,'Estoque-Imóvel'!A:AC,16,FALSE)),"ID não encontrado")</f>
        <v>2</v>
      </c>
      <c r="AU17" s="40">
        <f>IF(AT17=0,0,IF(AT17="ID não encontrado",0,IFERROR(VLOOKUP($AT$2,'BD - Itens x Peso'!$A:$B,2,FALSE),"Nome ou Peso não encontrado")))</f>
        <v>0.3</v>
      </c>
      <c r="AV17" s="42">
        <f>IFERROR(IF(C17="","Cidade não foi inserida",IF(AT17=0,0,VLOOKUP(C17,'BD - Valor Lavanderia Por Item'!A:R,7,FALSE))),"Cidade não encontrada")</f>
        <v>6.9774999999999991</v>
      </c>
      <c r="AW17" s="42">
        <f>IFERROR(IF(AND('TaxaLimpeza (Proposta)'!$A17&lt;&gt;"", COUNTIF('Configuração-Imóvel'!$A:$A, $A17)&gt;0), AV17*AU17*AT17,"ID não encontrado"),Tabela1[[#This Row],[Valor por lavanderia '[R$/Kg']40]])</f>
        <v>4.1864999999999997</v>
      </c>
      <c r="AX17" s="44">
        <f>IFERROR(IF(A17="",0,VLOOKUP(A17,'Estoque-Imóvel'!A:AC,17,FALSE)),"Code não encontrado")</f>
        <v>4</v>
      </c>
      <c r="AY17" s="40">
        <f>IF(AX17=0,0,IF(AX17="ID não encontrado",0,IFERROR(VLOOKUP($AX$2,'BD - Itens x Peso'!$A:$B,2,FALSE),"Nome ou Peso não encontrado")))</f>
        <v>0.19</v>
      </c>
      <c r="AZ17" s="42">
        <f>IFERROR(IF(C17="","Cidade não foi inserida",IF(AX17=0,0,VLOOKUP(C17,'BD - Valor Lavanderia Por Item'!A:R,5,FALSE))),"Cidade não encontrada")</f>
        <v>3.0649999999999999</v>
      </c>
      <c r="BA17" s="42">
        <f>IFERROR(IF(AND('TaxaLimpeza (Proposta)'!$A17&lt;&gt;"", COUNTIF('Configuração-Imóvel'!$A:$A, $A17)&gt;0), AZ17*AY17*AX17,"ID não encontrado"),Tabela1[[#This Row],[Valor por lavanderia '[R$/Kg']44]])</f>
        <v>2.3294000000000001</v>
      </c>
      <c r="BB17" s="44">
        <f>IFERROR(IF(A17="",0,VLOOKUP(A17,'Estoque-Imóvel'!A:AC,18,FALSE)),"ID não encontrado")</f>
        <v>0</v>
      </c>
      <c r="BC17" s="40">
        <f>IF(BB17=0,0,IF(BB17="ID não encontrado",0,IFERROR(VLOOKUP($BB$2,'BD - Itens x Peso'!$A:$B,2,FALSE),"Nome ou Peso não encontrado")))</f>
        <v>0</v>
      </c>
      <c r="BD17" s="42">
        <f>IFERROR(IF(C17="","Cidade não foi inserida",IF(BB17=0,0,VLOOKUP(C17,'BD - Valor Lavanderia Por Item'!A:R,11,FALSE))),"Cidade não encontrada")</f>
        <v>0</v>
      </c>
      <c r="BE17" s="42">
        <f>IFERROR(IF(AND('TaxaLimpeza (Proposta)'!$A17&lt;&gt;"", COUNTIF('Configuração-Imóvel'!$A:$A, $A17)&gt;0), BD17*BC17*BB17,"ID não encontrado"),Tabela1[[#This Row],[Valor por lavanderia '[R$/Kg']48]])</f>
        <v>0</v>
      </c>
      <c r="BF17" s="44">
        <f>IFERROR(IF(A17="",0,VLOOKUP(A17,'Estoque-Imóvel'!A:AC,19,FALSE)),"ID não encontrado")</f>
        <v>1</v>
      </c>
      <c r="BG17" s="40">
        <f>IF(BF17=0,0,IF(BF17="ID não encontrado",0,IFERROR(VLOOKUP($BF$2,'BD - Itens x Peso'!$A:$B,2,FALSE),"Nome ou Peso não encontrado")))</f>
        <v>2.62</v>
      </c>
      <c r="BH17" s="42">
        <f>IFERROR(IF(C17="","Cidade não foi inserida",IF(BF17=0,0,VLOOKUP(C17,'BD - Valor Lavanderia Por Item'!A:R,13,FALSE))),"Cidade não encontrada")</f>
        <v>41.7575</v>
      </c>
      <c r="BI17" s="42">
        <f>IFERROR(IF(AND('TaxaLimpeza (Proposta)'!$A17&lt;&gt;"", COUNTIF('Configuração-Imóvel'!$A:$A, $A17)&gt;0), BH17*BG17*BF17,"ID não encontrado"),Tabela1[[#This Row],[Valor por lavanderia '[R$/Kg']52]])</f>
        <v>109.40465</v>
      </c>
      <c r="BJ17" s="44">
        <f>IFERROR(IF(A17="",0,VLOOKUP(A17,'Estoque-Imóvel'!A:AC,20,FALSE)),"ID não encontrado")</f>
        <v>0</v>
      </c>
      <c r="BK17" s="40">
        <f>IF(BJ17=0,0,IF(BJ17="ID não encontrado",0,IFERROR(VLOOKUP($BJ$2,'BD - Itens x Peso'!$A:$B,2,FALSE),"Nome ou Peso não encontrado")))</f>
        <v>0</v>
      </c>
      <c r="BL17" s="42">
        <f>IFERROR(IF(C17="","Cidade não foi inserida",IF(BJ17=0,0,VLOOKUP(C17,'BD - Valor Lavanderia Por Item'!A:R,13,FALSE))),"Cidade não encontrada")</f>
        <v>0</v>
      </c>
      <c r="BM17" s="42">
        <f>IFERROR(IF(AND('TaxaLimpeza (Proposta)'!$A17&lt;&gt;"", COUNTIF('Configuração-Imóvel'!$A:$A, $A17)&gt;0), BL17*BK17*BJ17,"ID não encontrado"),Tabela1[[#This Row],[Valor por lavanderia '[R$/Kg']56]])</f>
        <v>0</v>
      </c>
      <c r="BN17" s="44">
        <f>IFERROR(IF(A17="",0,VLOOKUP(A17,'Estoque-Imóvel'!A:AC,21,FALSE)),"ID não encontrado")</f>
        <v>0</v>
      </c>
      <c r="BO17" s="40">
        <f>IF(BN17=0,0,IF(BN17="ID não encontrado",0,IFERROR(VLOOKUP($BN$2,'BD - Itens x Peso'!$A:$B,2,FALSE),"Nome ou Peso não encontrado")))</f>
        <v>0</v>
      </c>
      <c r="BP17" s="42">
        <f>IFERROR(IF(C17="","Cidade não foi inserida",IF(BN17=0,0,VLOOKUP(C17,'BD - Valor Lavanderia Por Item'!A:R,13,FALSE))),"Cidade não encontrada")</f>
        <v>0</v>
      </c>
      <c r="BQ17" s="42">
        <f>IFERROR(IF(AND('TaxaLimpeza (Proposta)'!$A17&lt;&gt;"", COUNTIF('Configuração-Imóvel'!$A:$A, $A17)&gt;0), BP17*BO17*BN17,"ID não encontrado"),Tabela1[[#This Row],[Valor por lavanderia '[R$/Kg']60]])</f>
        <v>0</v>
      </c>
      <c r="BR17" s="44">
        <f>IFERROR(IF(A17="",0,VLOOKUP(A17,'Estoque-Imóvel'!A:AC,22,FALSE)),"ID não encontrado")</f>
        <v>0</v>
      </c>
      <c r="BS17" s="40">
        <f>IF(BR17=0,0,IF(BR17="ID não encontrado",0,IFERROR(VLOOKUP($BR$2,'BD - Itens x Peso'!$A:$B,2,FALSE),"Nome ou Peso não encontrado. Utilizado o Edredom Solteiro como referência")))</f>
        <v>0</v>
      </c>
      <c r="BT17" s="42">
        <f>IFERROR(IF(C17="","Cidade não foi inserida",IF(BR17=0,0,VLOOKUP(C17,'BD - Valor Lavanderia Por Item'!A:R,11,FALSE))),"Cidade não encontrada")</f>
        <v>0</v>
      </c>
      <c r="BU17" s="42">
        <f>IFERROR(IF(AND('TaxaLimpeza (Proposta)'!$A17&lt;&gt;"", COUNTIF('Configuração-Imóvel'!$A:$A, $A17)&gt;0), BT17*BS17*BR17,"ID não encontrado"),BT17*VLOOKUP($BB$2,'BD - Itens x Peso'!$A:$B,2,FALSE)*BR17)</f>
        <v>0</v>
      </c>
      <c r="BV17" s="44">
        <f>IFERROR(IF(A17="",0,VLOOKUP(A17,'Estoque-Imóvel'!A:AC,23,FALSE)),"ID não encontrado")</f>
        <v>0</v>
      </c>
      <c r="BW17" s="40">
        <f>IF(BV17=0,0,IF(BV17="ID não encontrado",0,IFERROR(VLOOKUP($BV$2,'BD - Itens x Peso'!$A:$B,2,FALSE),"Nome ou Peso não encontrado. Utilizado o Edredom Queen Size como referência")))</f>
        <v>0</v>
      </c>
      <c r="BX17" s="42">
        <f>IFERROR(IF(C17="","Cidade não foi inserida",IF(BV17=0,0,VLOOKUP(C17,'BD - Valor Lavanderia Por Item'!A:R,13,FALSE))),"Cidade não encontrada")</f>
        <v>0</v>
      </c>
      <c r="BY17" s="42">
        <f>IFERROR(IF(AND('TaxaLimpeza (Proposta)'!$A17&lt;&gt;"",COUNTIF('Configuração-Imóvel'!$A:$A,$A17)&gt;0),BX17*BW17*BV17,"ID não encontrado"),BX17*(VLOOKUP($BF$2,'BD - Itens x Peso'!$A:$B,2,FALSE)*BV17))</f>
        <v>0</v>
      </c>
      <c r="BZ17" s="44">
        <f>IFERROR(IF(A17="",0,VLOOKUP(A17,'Estoque-Imóvel'!A:AC,24,FALSE)),"ID não encontrado")</f>
        <v>0</v>
      </c>
      <c r="CA17" s="40">
        <f>IF(BZ17=0,0,IF(BZ17="ID não encontrado",0,IFERROR(VLOOKUP($BZ$2,'BD - Itens x Peso'!$A:$B,2,FALSE),"Nome ou Peso não encontrado. Utilizado o peso do Edredom Casal como referência")))</f>
        <v>0</v>
      </c>
      <c r="CB17" s="42">
        <f>IFERROR(IF(C17="","Cidade não foi inserida",IF(BZ17=0,0,VLOOKUP(C17,'BD - Valor Lavanderia Por Item'!A:R,12,FALSE))),"Cidade não encontrada")</f>
        <v>0</v>
      </c>
      <c r="CC17" s="42">
        <f>IFERROR(IF(AND('TaxaLimpeza (Proposta)'!$A17&lt;&gt;"", COUNTIF('Configuração-Imóvel'!$A:$A, $A17)&gt;0), CB17*CA17*BZ17,"ID não encontrado"),VLOOKUP($BN$2,'BD - Itens x Peso'!$A:$B,2,FALSE)*CB17*BZ17)</f>
        <v>0</v>
      </c>
      <c r="CD17" s="44">
        <f>IFERROR(IF(A17="",0,VLOOKUP(A17,'Estoque-Imóvel'!A:AC,25,FALSE)),"ID não encontrado")</f>
        <v>0</v>
      </c>
      <c r="CE17" s="40">
        <f>IF(CD17=0,0,IF(CD17="ID não encontrado",0,IFERROR(VLOOKUP($CD$2,'BD - Itens x Peso'!$A:$B,2,FALSE),"Nome ou Peso não encontrado. Utilizado o Edredom Queen Size como referência")))</f>
        <v>0</v>
      </c>
      <c r="CF17" s="42">
        <f>IFERROR(IF(C17="","Cidade não foi inserida",IF(CD17=0,0,VLOOKUP(C17,'BD - Valor Lavanderia Por Item'!A:R,13,FALSE))),"Cidade não encontrada")</f>
        <v>0</v>
      </c>
      <c r="CG17" s="42">
        <f>IFERROR(IF(AND('TaxaLimpeza (Proposta)'!$A17&lt;&gt;"", COUNTIF('Configuração-Imóvel'!$A:$A, $A17)&gt;0), CF17*CE17*CD17,"ID não encontrado"),VLOOKUP($BF$2,'BD - Itens x Peso'!$A:$B,2,FALSE)*CF17*CD17)</f>
        <v>0</v>
      </c>
      <c r="CH17" s="44">
        <f>IFERROR(IF(A17="",0,VLOOKUP(A17,'Estoque-Imóvel'!A:AC,26,FALSE)),"ID não encontrado")</f>
        <v>0</v>
      </c>
      <c r="CI17" s="40">
        <f>IF(CH17=0,0,IF(CH17="ID não encontrado",0,IFERROR(VLOOKUP($CH$2,'BD - Itens x Peso'!$A:$B,2,FALSE),"Nome ou Peso não encontrado")))</f>
        <v>0</v>
      </c>
      <c r="CJ17" s="42">
        <f>IFERROR(IF(C17="","Cidade não foi inserida",IF(CH17=0,0,VLOOKUP(C17,'BD - Valor Lavanderia Por Item'!A:R,15,FALSE))),"Cidade não encontrada")</f>
        <v>0</v>
      </c>
      <c r="CK17" s="42">
        <f>IFERROR(IF(AND('TaxaLimpeza (Proposta)'!$A17&lt;&gt;"", COUNTIF('Configuração-Imóvel'!$A:$A, $A17)&gt;0), CJ17*CI17*CH17,"ID não encontrado"),Tabela1[[#This Row],[Valor por lavanderia '[R$/Kg']80]])</f>
        <v>0</v>
      </c>
      <c r="CL17" s="44">
        <f>IFERROR(IF(A17="",0,VLOOKUP(A17,'Estoque-Imóvel'!A:AC,27,FALSE)),"ID não encontrado")</f>
        <v>1</v>
      </c>
      <c r="CM17" s="40">
        <f>IF(CL17=0,0,IF(CL17="ID não encontrado",0,IFERROR(VLOOKUP($CL$2,'BD - Itens x Peso'!$A:$B,2,FALSE),"Nome ou Peso não encontrado")))</f>
        <v>1.56</v>
      </c>
      <c r="CN17" s="42">
        <f>IFERROR(IF(C17="","Cidade não foi inserida",IF(CL17=0,0,VLOOKUP(C17,'BD - Valor Lavanderia Por Item'!A:R,17,FALSE))),"Cidade não encontrada")</f>
        <v>16.457000000000001</v>
      </c>
      <c r="CO17" s="42">
        <f>IFERROR(IF(AND('TaxaLimpeza (Proposta)'!$A17&lt;&gt;"", COUNTIF('Configuração-Imóvel'!$A:$A, $A17)&gt;0), CN17*CM17*CL17,"ID não encontrado"),Tabela1[[#This Row],[Valor por lavanderia '[R$/Kg']84]])</f>
        <v>25.672920000000001</v>
      </c>
      <c r="CP17" s="44">
        <f>IFERROR(IF(A17="",0,VLOOKUP(A17,'Estoque-Imóvel'!A:AC,28,FALSE)),"ID não encontrado")</f>
        <v>0</v>
      </c>
      <c r="CQ17" s="40">
        <f>IF(CP17=0,0,IF(CP17="ID não encontrado",0,IFERROR(VLOOKUP($CP$2,'BD - Itens x Peso'!$A:$B,2,FALSE),"Nome ou Peso não encontrado")))</f>
        <v>0</v>
      </c>
      <c r="CR17" s="42">
        <f>IFERROR(IF(C17="","Cidade não foi inserida",IF(CP17=0,0,VLOOKUP(C17,'BD - Valor Lavanderia Por Item'!A:R,18,FALSE))),"Cidade não encontrada")</f>
        <v>0</v>
      </c>
      <c r="CS17" s="42">
        <f>IFERROR(IF(AND('TaxaLimpeza (Proposta)'!$A17&lt;&gt;"", COUNTIF('Configuração-Imóvel'!$A:$A, $A17)&gt;0), CR17*CQ17*CP17,"ID não encontrado"),Tabela1[[#This Row],[Valor por lavanderia '[R$/Kg']3]])</f>
        <v>0</v>
      </c>
      <c r="CT17" s="44">
        <f>IFERROR(IF(A17="",0,VLOOKUP(A17,'Estoque-Imóvel'!A:AC,29,FALSE)),"ID não encontrado")</f>
        <v>0</v>
      </c>
      <c r="CU17" s="40">
        <f>IF(CT17=0,0,IF(CT17="ID não encontrado",0,IFERROR(VLOOKUP($CT$2,'BD - Itens x Peso'!$A:$B,2,FALSE),"Nome ou Peso não encontrado")))</f>
        <v>0</v>
      </c>
      <c r="CV17" s="42">
        <f>IFERROR(IF(C17="","Cidade não foi inserida",IF(CT17=0,0,VLOOKUP(C17,'BD - Valor Lavanderia Por Item'!A:R,16,FALSE))),"Cidade não encontrada")</f>
        <v>0</v>
      </c>
      <c r="CW17" s="45">
        <f>IFERROR(IF(AND('TaxaLimpeza (Proposta)'!$A17&lt;&gt;"", COUNTIF('Configuração-Imóvel'!$A:$A, $A17)&gt;0), CV17*CU17*CT17,"ID não encontrado"),Tabela1[[#This Row],[Valor por lavanderia '[R$/Kg']2]])</f>
        <v>0</v>
      </c>
      <c r="CX17" s="34">
        <f t="shared" si="1"/>
        <v>164.83016000000001</v>
      </c>
      <c r="CY17" s="68">
        <f>IFERROR(IF(A17="","",(VLOOKUP(A17,'Configuração-Imóvel'!$A$2:$R$21,16,FALSE)+VLOOKUP(A17,'Configuração-Imóvel'!$A$2:$R$21,17,FALSE))*VLOOKUP($CY$3,'BD - Amenities'!$B$2:$E$7,4,FALSE)),"ID não encontrado")</f>
        <v>0.5</v>
      </c>
      <c r="CZ17" s="69">
        <f>IFERROR(IF(A17="","",(VLOOKUP(A17,'Configuração-Imóvel'!$A$2:$R$21,16,FALSE)+VLOOKUP(A17,'Configuração-Imóvel'!$A$2:$R$21,17,FALSE))*VLOOKUP($CZ$3,'BD - Amenities'!$B$2:$E$7,4,FALSE)),"ID não encontrado")</f>
        <v>4</v>
      </c>
      <c r="DA17" s="69">
        <f>IFERROR(IF(A17="","",VLOOKUP(A17,'Configuração-Imóvel'!$A$2:$R$21,16,FALSE)*VLOOKUP($DA$3,'BD - Amenities'!$B$2:$E$7,4,FALSE)),"ID não encontrado")</f>
        <v>1.5</v>
      </c>
      <c r="DB17" s="69">
        <f>IFERROR(IF(A17="","",VLOOKUP(A17,'Configuração-Imóvel'!$A$2:$R$21,16,FALSE)*VLOOKUP($DB$3,'BD - Amenities'!$B$2:$E$7,4,FALSE)),"ID não encontrado")</f>
        <v>1.5</v>
      </c>
      <c r="DC17" s="35">
        <f t="shared" si="2"/>
        <v>7.5</v>
      </c>
      <c r="DD17" s="37">
        <f>IFERROR(IF(A17="","",VLOOKUP($DD$3,'BD - Material de Limpeza'!$A:$D,4,FALSE)),"ID não encontrado")</f>
        <v>2</v>
      </c>
      <c r="DE17" s="38">
        <f>IFERROR(IF(A17="","",VLOOKUP($DE$3,'BD - Material de Limpeza'!$A:$D,4,FALSE)),"ID não encontrado")</f>
        <v>2</v>
      </c>
      <c r="DF17" s="38">
        <f>IFERROR(IF(A17="","",VLOOKUP($DF$3,'BD - Material de Limpeza'!$A:$D,4,FALSE)),"ID não encontrado")</f>
        <v>1</v>
      </c>
      <c r="DG17" s="38">
        <f>IFERROR(IF(A17="","",VLOOKUP($DG$3,'BD - Material de Limpeza'!$A:$D,4,FALSE)),"ID não encontrado")</f>
        <v>1</v>
      </c>
      <c r="DH17" s="38">
        <f>IFERROR(IF(A17="","",VLOOKUP($DH$3,'BD - Material de Limpeza'!$A:$D,4,FALSE)),"ID não encontrado")</f>
        <v>1</v>
      </c>
      <c r="DI17" s="38">
        <f>IFERROR(IF(A17="","",VLOOKUP($DI$3,'BD - Material de Limpeza'!$A:$D,4,FALSE)),"ID não encontrado")</f>
        <v>1</v>
      </c>
      <c r="DJ17" s="38">
        <f>IFERROR(IF(A17="","",VLOOKUP($DJ$3,'BD - Material de Limpeza'!$A:$D,4,FALSE)),"ID não encontrado")</f>
        <v>1</v>
      </c>
      <c r="DK17" s="36">
        <f t="shared" si="0"/>
        <v>9</v>
      </c>
      <c r="DL17" s="72" cm="1">
        <f t="array" ref="DL17">IFERROR(IF('TaxaLimpeza (Proposta)'!$A17="","",INDEX('BD - Valor Limpeza Diarista'!B:B,INDEX('Configuração-Imóvel'!O:O,MATCH(A17,'Configuração-Imóvel'!A:A,0))+1,0)),"ID não encontrado")</f>
        <v>220</v>
      </c>
      <c r="DM17" s="67">
        <f t="shared" si="3"/>
        <v>441.46317600000003</v>
      </c>
      <c r="DN17" s="23" t="s">
        <v>188</v>
      </c>
      <c r="DP17" s="74"/>
    </row>
    <row r="18" spans="1:120" ht="15.75" customHeight="1">
      <c r="A18" s="65" t="s">
        <v>24</v>
      </c>
      <c r="B18" s="32" t="s">
        <v>154</v>
      </c>
      <c r="C18" s="32" t="s">
        <v>95</v>
      </c>
      <c r="D18" s="32" t="s">
        <v>155</v>
      </c>
      <c r="E18" s="33" t="s">
        <v>201</v>
      </c>
      <c r="F18" s="39">
        <f>IFERROR(IF(A18="",0,VLOOKUP(A18,'Estoque-Imóvel'!A:AC,6,FALSE)),"ID não encontrado")</f>
        <v>0</v>
      </c>
      <c r="G18" s="40">
        <f>IF(F18=0,0,IF(F18="ID não encontrado",0,IFERROR(VLOOKUP($F$2,'BD - Itens x Peso'!$A:$B,2,FALSE),"Nome ou Peso não encontrado")))</f>
        <v>0</v>
      </c>
      <c r="H18" s="41">
        <f>IFERROR(IF(C18="","Cidade não foi inserida",IF(F18=0,0,VLOOKUP(C18,'BD - Valor Lavanderia Por Item'!A:R,2,FALSE))),"Cidade não encontrada")</f>
        <v>0</v>
      </c>
      <c r="I18" s="42">
        <f>IFERROR(IF(AND('TaxaLimpeza (Proposta)'!$A18&lt;&gt;"", COUNTIF('Configuração-Imóvel'!$A:$A, $A18)&gt;0), H18*G18*F18,"ID não encontrado"),H18)</f>
        <v>0</v>
      </c>
      <c r="J18" s="43">
        <f>IFERROR(IF(A18="",0,VLOOKUP(A18,'Estoque-Imóvel'!A:AC,7,FALSE)),"ID não encontrado")</f>
        <v>0</v>
      </c>
      <c r="K18" s="40">
        <f>IF(J18=0,0,IF(J18="ID não encontrado",0,IFERROR(VLOOKUP($J$2,'BD - Itens x Peso'!$A:$B,2,FALSE),"Nome ou Peso não encontrado")))</f>
        <v>0</v>
      </c>
      <c r="L18" s="41">
        <f>IFERROR(IF(C18="","Cidade não foi inserida",IF(J18=0,0,VLOOKUP(C18,'BD - Valor Lavanderia Por Item'!A:R,3,FALSE))),"Cidade não encontrada")</f>
        <v>0</v>
      </c>
      <c r="M18" s="41">
        <f>IFERROR(IF(AND('TaxaLimpeza (Proposta)'!$A18&lt;&gt;"", COUNTIF('Configuração-Imóvel'!$A:$A, $A18)&gt;0), L18*K18*J18,"ID não encontrado"),Tabela1[[#This Row],[Valor por lavanderia '[R$/Kg']4]])</f>
        <v>0</v>
      </c>
      <c r="N18" s="44">
        <f>IFERROR(IF(A18="",0,VLOOKUP(A18,'Estoque-Imóvel'!A:AC,8,FALSE)),"ID não encontrado")</f>
        <v>0</v>
      </c>
      <c r="O18" s="40">
        <f>IF(N18=0,0,IF(N18="ID não encontrado",0,IFERROR(VLOOKUP($N$2,'BD - Itens x Peso'!$A:$B,2,FALSE),"Nome ou Peso não encontrado")))</f>
        <v>0</v>
      </c>
      <c r="P18" s="42">
        <f>IFERROR(IF(C18="","Cidade não foi inserida",IF(N18=0,0,VLOOKUP(C18,'BD - Valor Lavanderia Por Item'!A:R,2,FALSE))),"Cidade não encontrada")</f>
        <v>0</v>
      </c>
      <c r="Q18" s="42">
        <f>IFERROR(IF(AND('TaxaLimpeza (Proposta)'!$A18&lt;&gt;"", COUNTIF('Configuração-Imóvel'!$A:$A, $A18)&gt;0), P18*O18*N18,"ID não encontrado"),Tabela1[[#This Row],[Valor por lavanderia '[R$/Kg']8]])</f>
        <v>0</v>
      </c>
      <c r="R18" s="44">
        <f>IFERROR(IF(A18="",0,VLOOKUP(A18,'Estoque-Imóvel'!A:AC,9,FALSE)),"ID não encontrado")</f>
        <v>0</v>
      </c>
      <c r="S18" s="40">
        <f>IF(R18=0,0,IF(R18="ID não encontrado",0,IFERROR(VLOOKUP($R$2,'BD - Itens x Peso'!$A:$B,2,FALSE),"Nome ou Peso não encontrado")))</f>
        <v>0</v>
      </c>
      <c r="T18" s="42">
        <f>IFERROR(IF(C18="","Cidade não foi inserida",IF(R18=0,0,VLOOKUP(C18,'BD - Valor Lavanderia Por Item'!A:R,4,FALSE))),"Cidade não encontrada")</f>
        <v>0</v>
      </c>
      <c r="U18" s="42">
        <f>IFERROR(IF(AND('TaxaLimpeza (Proposta)'!$A18&lt;&gt;"", COUNTIF('Configuração-Imóvel'!$A:$A, $A18)&gt;0), T18*S18*R18,"ID não encontrado"),Tabela1[[#This Row],[Valor por lavanderia '[R$/Kg']12]])</f>
        <v>0</v>
      </c>
      <c r="V18" s="44">
        <f>IFERROR(IF(A18="",0,VLOOKUP(A18,'Estoque-Imóvel'!A:AC,10,FALSE)),"ID não encontrado")</f>
        <v>0</v>
      </c>
      <c r="W18" s="40">
        <f>IF(V18=0,0,IF(V18="ID não encontrado",0,IFERROR(VLOOKUP($V$2,'BD - Itens x Peso'!$A:$B,2,FALSE),"Nome ou Peso não encontrado")))</f>
        <v>0</v>
      </c>
      <c r="X18" s="42">
        <f>IFERROR(IF(C18="","Cidade não foi inserida",IF(V18=0,0,VLOOKUP(C18,'BD - Valor Lavanderia Por Item'!A:R,3,FALSE))),"Cidade não encontrada")</f>
        <v>0</v>
      </c>
      <c r="Y18" s="42">
        <f>IFERROR(IF(AND('TaxaLimpeza (Proposta)'!$A18&lt;&gt;"", COUNTIF('Configuração-Imóvel'!$A:$A, $A18)&gt;0), X18*W18*V18,"ID não encontrado"),Tabela1[[#This Row],[Valor por lavanderia '[R$/Kg']16]])</f>
        <v>0</v>
      </c>
      <c r="Z18" s="44">
        <f>IFERROR(IF(A18="",0,VLOOKUP(A18,'Estoque-Imóvel'!A:AC,11,FALSE)),"ID não encontrado")</f>
        <v>0</v>
      </c>
      <c r="AA18" s="40">
        <f>IF(Z18=0,0,IF(Z18="ID não encontrado",0,IFERROR(VLOOKUP($Z$2,'BD - Itens x Peso'!$A:$B,2,FALSE),"Nome ou Peso não encontrado")))</f>
        <v>0</v>
      </c>
      <c r="AB18" s="42">
        <f>IFERROR(IF(C18="","Cidade não foi inserida",IF(Z18=0,0,VLOOKUP(C18,'BD - Valor Lavanderia Por Item'!A:R,3,FALSE))),"Cidade não encontrada")</f>
        <v>0</v>
      </c>
      <c r="AC18" s="42">
        <f>IFERROR(IF(AND('TaxaLimpeza (Proposta)'!$A18&lt;&gt;"", COUNTIF('Configuração-Imóvel'!$A:$A, $A18)&gt;0), AB18*AA18*Z18,"ID não encontrado"),Tabela1[[#This Row],[Valor por lavanderia '[R$/Kg']20]])</f>
        <v>0</v>
      </c>
      <c r="AD18" s="44">
        <f>IFERROR(IF(A18="",0,VLOOKUP(A18,'Estoque-Imóvel'!A:AC,12,FALSE)),"ID não encontrado")</f>
        <v>0</v>
      </c>
      <c r="AE18" s="40">
        <f>IF(AD18=0,0,IF(AD18="ID não encontrado",0,IFERROR(VLOOKUP($AD$2,'BD - Itens x Peso'!$A:$B,2,FALSE),"Nome ou Peso não encontrado")))</f>
        <v>0</v>
      </c>
      <c r="AF18" s="42">
        <f>IFERROR(IF(C18="","Cidade não foi inserida",IF(AD18=0,0,VLOOKUP(C18,'BD - Valor Lavanderia Por Item'!A:R,9,FALSE))),"Cidade não encontrada")</f>
        <v>0</v>
      </c>
      <c r="AG18" s="42">
        <f>IFERROR(IF(AND('TaxaLimpeza (Proposta)'!$A18&lt;&gt;"", COUNTIF('Configuração-Imóvel'!$A:$A, $A18)&gt;0), AF18*AE18*AD18,"ID não encontrado"),Tabela1[[#This Row],[Valor por lavanderia '[R$/Kg']24]])</f>
        <v>0</v>
      </c>
      <c r="AH18" s="44">
        <f>IFERROR(IF(A18="",0,VLOOKUP(A18,'Estoque-Imóvel'!A:AC,13,FALSE)),"ID não encontrado")</f>
        <v>0</v>
      </c>
      <c r="AI18" s="40">
        <f>IF(AH18=0,0,IF(AH18="ID não encontrado",0,IFERROR(VLOOKUP($AH$2,'BD - Itens x Peso'!$A:$B,2,FALSE),"Nome ou Peso não encontrado")))</f>
        <v>0</v>
      </c>
      <c r="AJ18" s="42">
        <f>IFERROR(IF(C18="","Cidade não foi inserida",IF(AH18=0,0,VLOOKUP(C18,'BD - Valor Lavanderia Por Item'!A:R,6,FALSE))),"Cidade não encontrada")</f>
        <v>0</v>
      </c>
      <c r="AK18" s="42">
        <f>IFERROR(IF(AND('TaxaLimpeza (Proposta)'!$A18&lt;&gt;"", COUNTIF('Configuração-Imóvel'!$A:$A, $A18)&gt;0), AJ18*AI18*AH18,"ID não encontrado"),Tabela1[[#This Row],[Valor por lavanderia '[R$/Kg']28]])</f>
        <v>0</v>
      </c>
      <c r="AL18" s="44">
        <f>IFERROR(IF(A18="",0,VLOOKUP(A18,'Estoque-Imóvel'!A:AC,14,FALSE)),"ID não encontrado")</f>
        <v>0</v>
      </c>
      <c r="AM18" s="40">
        <f>IF(AL18=0,0,IF(AL18="ID não encontrado",0,IFERROR(VLOOKUP($AL$2,'BD - Itens x Peso'!$A:$B,2,FALSE),"Nome ou Peso não encontrado")))</f>
        <v>0</v>
      </c>
      <c r="AN18" s="42">
        <f>IFERROR(IF(C18="","Cidade não foi inserida",IF(AL18=0,0,VLOOKUP(C18,'BD - Valor Lavanderia Por Item'!A:R,8,FALSE))),"Cidade não encontrada")</f>
        <v>0</v>
      </c>
      <c r="AO18" s="42">
        <f>IFERROR(IF(AND('TaxaLimpeza (Proposta)'!$A18&lt;&gt;"", COUNTIF('Configuração-Imóvel'!$A:$A, $A18)&gt;0), AN18*AM18*AL18,"ID não encontrado"),Tabela1[[#This Row],[Valor por lavanderia '[R$/Kg']32]])</f>
        <v>0</v>
      </c>
      <c r="AP18" s="44">
        <f>IFERROR(IF(A18="",0,VLOOKUP(A18,'Estoque-Imóvel'!A:AC,15,FALSE)),"ID não encontrado")</f>
        <v>0</v>
      </c>
      <c r="AQ18" s="40">
        <f>IF(AP18=0,0,IF(AP18="ID não encontrado",0,IFERROR(VLOOKUP($AP$2,'BD - Itens x Peso'!$A:$B,2,FALSE),"Nome ou Peso não encontrado")))</f>
        <v>0</v>
      </c>
      <c r="AR18" s="42">
        <f>IFERROR(IF(C18="","Cidade não foi inserida",IF(AP18=0,0,VLOOKUP(C18,'BD - Valor Lavanderia Por Item'!A:R,8,FALSE))),"Cidade não encontrada")</f>
        <v>0</v>
      </c>
      <c r="AS18" s="42">
        <f>IFERROR(IF(AND('TaxaLimpeza (Proposta)'!$A18&lt;&gt;"", COUNTIF('Configuração-Imóvel'!$A:$A, $A18)&gt;0), AR18*AQ18*AP18,"ID não encontrado"),Tabela1[[#This Row],[Valor por lavanderia '[R$/Kg']36]])</f>
        <v>0</v>
      </c>
      <c r="AT18" s="44">
        <f>IFERROR(IF(A18="",0,VLOOKUP(A18,'Estoque-Imóvel'!A:AC,16,FALSE)),"ID não encontrado")</f>
        <v>0</v>
      </c>
      <c r="AU18" s="40">
        <f>IF(AT18=0,0,IF(AT18="ID não encontrado",0,IFERROR(VLOOKUP($AT$2,'BD - Itens x Peso'!$A:$B,2,FALSE),"Nome ou Peso não encontrado")))</f>
        <v>0</v>
      </c>
      <c r="AV18" s="42">
        <f>IFERROR(IF(C18="","Cidade não foi inserida",IF(AT18=0,0,VLOOKUP(C18,'BD - Valor Lavanderia Por Item'!A:R,7,FALSE))),"Cidade não encontrada")</f>
        <v>0</v>
      </c>
      <c r="AW18" s="42">
        <f>IFERROR(IF(AND('TaxaLimpeza (Proposta)'!$A18&lt;&gt;"", COUNTIF('Configuração-Imóvel'!$A:$A, $A18)&gt;0), AV18*AU18*AT18,"ID não encontrado"),Tabela1[[#This Row],[Valor por lavanderia '[R$/Kg']40]])</f>
        <v>0</v>
      </c>
      <c r="AX18" s="44">
        <f>IFERROR(IF(A18="",0,VLOOKUP(A18,'Estoque-Imóvel'!A:AC,17,FALSE)),"Code não encontrado")</f>
        <v>0</v>
      </c>
      <c r="AY18" s="40">
        <f>IF(AX18=0,0,IF(AX18="ID não encontrado",0,IFERROR(VLOOKUP($AX$2,'BD - Itens x Peso'!$A:$B,2,FALSE),"Nome ou Peso não encontrado")))</f>
        <v>0</v>
      </c>
      <c r="AZ18" s="42">
        <f>IFERROR(IF(C18="","Cidade não foi inserida",IF(AX18=0,0,VLOOKUP(C18,'BD - Valor Lavanderia Por Item'!A:R,5,FALSE))),"Cidade não encontrada")</f>
        <v>0</v>
      </c>
      <c r="BA18" s="42">
        <f>IFERROR(IF(AND('TaxaLimpeza (Proposta)'!$A18&lt;&gt;"", COUNTIF('Configuração-Imóvel'!$A:$A, $A18)&gt;0), AZ18*AY18*AX18,"ID não encontrado"),Tabela1[[#This Row],[Valor por lavanderia '[R$/Kg']44]])</f>
        <v>0</v>
      </c>
      <c r="BB18" s="44">
        <f>IFERROR(IF(A18="",0,VLOOKUP(A18,'Estoque-Imóvel'!A:AC,18,FALSE)),"ID não encontrado")</f>
        <v>0</v>
      </c>
      <c r="BC18" s="40">
        <f>IF(BB18=0,0,IF(BB18="ID não encontrado",0,IFERROR(VLOOKUP($BB$2,'BD - Itens x Peso'!$A:$B,2,FALSE),"Nome ou Peso não encontrado")))</f>
        <v>0</v>
      </c>
      <c r="BD18" s="42">
        <f>IFERROR(IF(C18="","Cidade não foi inserida",IF(BB18=0,0,VLOOKUP(C18,'BD - Valor Lavanderia Por Item'!A:R,11,FALSE))),"Cidade não encontrada")</f>
        <v>0</v>
      </c>
      <c r="BE18" s="42">
        <f>IFERROR(IF(AND('TaxaLimpeza (Proposta)'!$A18&lt;&gt;"", COUNTIF('Configuração-Imóvel'!$A:$A, $A18)&gt;0), BD18*BC18*BB18,"ID não encontrado"),Tabela1[[#This Row],[Valor por lavanderia '[R$/Kg']48]])</f>
        <v>0</v>
      </c>
      <c r="BF18" s="44">
        <f>IFERROR(IF(A18="",0,VLOOKUP(A18,'Estoque-Imóvel'!A:AC,19,FALSE)),"ID não encontrado")</f>
        <v>0</v>
      </c>
      <c r="BG18" s="40">
        <f>IF(BF18=0,0,IF(BF18="ID não encontrado",0,IFERROR(VLOOKUP($BF$2,'BD - Itens x Peso'!$A:$B,2,FALSE),"Nome ou Peso não encontrado")))</f>
        <v>0</v>
      </c>
      <c r="BH18" s="42">
        <f>IFERROR(IF(C18="","Cidade não foi inserida",IF(BF18=0,0,VLOOKUP(C18,'BD - Valor Lavanderia Por Item'!A:R,13,FALSE))),"Cidade não encontrada")</f>
        <v>0</v>
      </c>
      <c r="BI18" s="42">
        <f>IFERROR(IF(AND('TaxaLimpeza (Proposta)'!$A18&lt;&gt;"", COUNTIF('Configuração-Imóvel'!$A:$A, $A18)&gt;0), BH18*BG18*BF18,"ID não encontrado"),Tabela1[[#This Row],[Valor por lavanderia '[R$/Kg']52]])</f>
        <v>0</v>
      </c>
      <c r="BJ18" s="44">
        <f>IFERROR(IF(A18="",0,VLOOKUP(A18,'Estoque-Imóvel'!A:AC,20,FALSE)),"ID não encontrado")</f>
        <v>0</v>
      </c>
      <c r="BK18" s="40">
        <f>IF(BJ18=0,0,IF(BJ18="ID não encontrado",0,IFERROR(VLOOKUP($BJ$2,'BD - Itens x Peso'!$A:$B,2,FALSE),"Nome ou Peso não encontrado")))</f>
        <v>0</v>
      </c>
      <c r="BL18" s="42">
        <f>IFERROR(IF(C18="","Cidade não foi inserida",IF(BJ18=0,0,VLOOKUP(C18,'BD - Valor Lavanderia Por Item'!A:R,13,FALSE))),"Cidade não encontrada")</f>
        <v>0</v>
      </c>
      <c r="BM18" s="42">
        <f>IFERROR(IF(AND('TaxaLimpeza (Proposta)'!$A18&lt;&gt;"", COUNTIF('Configuração-Imóvel'!$A:$A, $A18)&gt;0), BL18*BK18*BJ18,"ID não encontrado"),Tabela1[[#This Row],[Valor por lavanderia '[R$/Kg']56]])</f>
        <v>0</v>
      </c>
      <c r="BN18" s="44">
        <f>IFERROR(IF(A18="",0,VLOOKUP(A18,'Estoque-Imóvel'!A:AC,21,FALSE)),"ID não encontrado")</f>
        <v>0</v>
      </c>
      <c r="BO18" s="40">
        <f>IF(BN18=0,0,IF(BN18="ID não encontrado",0,IFERROR(VLOOKUP($BN$2,'BD - Itens x Peso'!$A:$B,2,FALSE),"Nome ou Peso não encontrado")))</f>
        <v>0</v>
      </c>
      <c r="BP18" s="42">
        <f>IFERROR(IF(C18="","Cidade não foi inserida",IF(BN18=0,0,VLOOKUP(C18,'BD - Valor Lavanderia Por Item'!A:R,13,FALSE))),"Cidade não encontrada")</f>
        <v>0</v>
      </c>
      <c r="BQ18" s="42">
        <f>IFERROR(IF(AND('TaxaLimpeza (Proposta)'!$A18&lt;&gt;"", COUNTIF('Configuração-Imóvel'!$A:$A, $A18)&gt;0), BP18*BO18*BN18,"ID não encontrado"),Tabela1[[#This Row],[Valor por lavanderia '[R$/Kg']60]])</f>
        <v>0</v>
      </c>
      <c r="BR18" s="44">
        <f>IFERROR(IF(A18="",0,VLOOKUP(A18,'Estoque-Imóvel'!A:AC,22,FALSE)),"ID não encontrado")</f>
        <v>0</v>
      </c>
      <c r="BS18" s="40">
        <f>IF(BR18=0,0,IF(BR18="ID não encontrado",0,IFERROR(VLOOKUP($BR$2,'BD - Itens x Peso'!$A:$B,2,FALSE),"Nome ou Peso não encontrado. Utilizado o Edredom Solteiro como referência")))</f>
        <v>0</v>
      </c>
      <c r="BT18" s="42">
        <f>IFERROR(IF(C18="","Cidade não foi inserida",IF(BR18=0,0,VLOOKUP(C18,'BD - Valor Lavanderia Por Item'!A:R,11,FALSE))),"Cidade não encontrada")</f>
        <v>0</v>
      </c>
      <c r="BU18" s="42">
        <f>IFERROR(IF(AND('TaxaLimpeza (Proposta)'!$A18&lt;&gt;"", COUNTIF('Configuração-Imóvel'!$A:$A, $A18)&gt;0), BT18*BS18*BR18,"ID não encontrado"),BT18*VLOOKUP($BB$2,'BD - Itens x Peso'!$A:$B,2,FALSE)*BR18)</f>
        <v>0</v>
      </c>
      <c r="BV18" s="44">
        <f>IFERROR(IF(A18="",0,VLOOKUP(A18,'Estoque-Imóvel'!A:AC,23,FALSE)),"ID não encontrado")</f>
        <v>0</v>
      </c>
      <c r="BW18" s="40">
        <f>IF(BV18=0,0,IF(BV18="ID não encontrado",0,IFERROR(VLOOKUP($BV$2,'BD - Itens x Peso'!$A:$B,2,FALSE),"Nome ou Peso não encontrado. Utilizado o Edredom Queen Size como referência")))</f>
        <v>0</v>
      </c>
      <c r="BX18" s="42">
        <f>IFERROR(IF(C18="","Cidade não foi inserida",IF(BV18=0,0,VLOOKUP(C18,'BD - Valor Lavanderia Por Item'!A:R,13,FALSE))),"Cidade não encontrada")</f>
        <v>0</v>
      </c>
      <c r="BY18" s="42">
        <f>IFERROR(IF(AND('TaxaLimpeza (Proposta)'!$A18&lt;&gt;"",COUNTIF('Configuração-Imóvel'!$A:$A,$A18)&gt;0),BX18*BW18*BV18,"ID não encontrado"),BX18*(VLOOKUP($BF$2,'BD - Itens x Peso'!$A:$B,2,FALSE)*BV18))</f>
        <v>0</v>
      </c>
      <c r="BZ18" s="44">
        <f>IFERROR(IF(A18="",0,VLOOKUP(A18,'Estoque-Imóvel'!A:AC,24,FALSE)),"ID não encontrado")</f>
        <v>0</v>
      </c>
      <c r="CA18" s="40">
        <f>IF(BZ18=0,0,IF(BZ18="ID não encontrado",0,IFERROR(VLOOKUP($BZ$2,'BD - Itens x Peso'!$A:$B,2,FALSE),"Nome ou Peso não encontrado. Utilizado o peso do Edredom Casal como referência")))</f>
        <v>0</v>
      </c>
      <c r="CB18" s="42">
        <f>IFERROR(IF(C18="","Cidade não foi inserida",IF(BZ18=0,0,VLOOKUP(C18,'BD - Valor Lavanderia Por Item'!A:R,12,FALSE))),"Cidade não encontrada")</f>
        <v>0</v>
      </c>
      <c r="CC18" s="42">
        <f>IFERROR(IF(AND('TaxaLimpeza (Proposta)'!$A18&lt;&gt;"", COUNTIF('Configuração-Imóvel'!$A:$A, $A18)&gt;0), CB18*CA18*BZ18,"ID não encontrado"),VLOOKUP($BN$2,'BD - Itens x Peso'!$A:$B,2,FALSE)*CB18*BZ18)</f>
        <v>0</v>
      </c>
      <c r="CD18" s="44">
        <f>IFERROR(IF(A18="",0,VLOOKUP(A18,'Estoque-Imóvel'!A:AC,25,FALSE)),"ID não encontrado")</f>
        <v>0</v>
      </c>
      <c r="CE18" s="40">
        <f>IF(CD18=0,0,IF(CD18="ID não encontrado",0,IFERROR(VLOOKUP($CD$2,'BD - Itens x Peso'!$A:$B,2,FALSE),"Nome ou Peso não encontrado. Utilizado o Edredom Queen Size como referência")))</f>
        <v>0</v>
      </c>
      <c r="CF18" s="42">
        <f>IFERROR(IF(C18="","Cidade não foi inserida",IF(CD18=0,0,VLOOKUP(C18,'BD - Valor Lavanderia Por Item'!A:R,13,FALSE))),"Cidade não encontrada")</f>
        <v>0</v>
      </c>
      <c r="CG18" s="42">
        <f>IFERROR(IF(AND('TaxaLimpeza (Proposta)'!$A18&lt;&gt;"", COUNTIF('Configuração-Imóvel'!$A:$A, $A18)&gt;0), CF18*CE18*CD18,"ID não encontrado"),VLOOKUP($BF$2,'BD - Itens x Peso'!$A:$B,2,FALSE)*CF18*CD18)</f>
        <v>0</v>
      </c>
      <c r="CH18" s="44">
        <f>IFERROR(IF(A18="",0,VLOOKUP(A18,'Estoque-Imóvel'!A:AC,26,FALSE)),"ID não encontrado")</f>
        <v>0</v>
      </c>
      <c r="CI18" s="40">
        <f>IF(CH18=0,0,IF(CH18="ID não encontrado",0,IFERROR(VLOOKUP($CH$2,'BD - Itens x Peso'!$A:$B,2,FALSE),"Nome ou Peso não encontrado")))</f>
        <v>0</v>
      </c>
      <c r="CJ18" s="42">
        <f>IFERROR(IF(C18="","Cidade não foi inserida",IF(CH18=0,0,VLOOKUP(C18,'BD - Valor Lavanderia Por Item'!A:R,15,FALSE))),"Cidade não encontrada")</f>
        <v>0</v>
      </c>
      <c r="CK18" s="42">
        <f>IFERROR(IF(AND('TaxaLimpeza (Proposta)'!$A18&lt;&gt;"", COUNTIF('Configuração-Imóvel'!$A:$A, $A18)&gt;0), CJ18*CI18*CH18,"ID não encontrado"),Tabela1[[#This Row],[Valor por lavanderia '[R$/Kg']80]])</f>
        <v>0</v>
      </c>
      <c r="CL18" s="44">
        <f>IFERROR(IF(A18="",0,VLOOKUP(A18,'Estoque-Imóvel'!A:AC,27,FALSE)),"ID não encontrado")</f>
        <v>0</v>
      </c>
      <c r="CM18" s="40">
        <f>IF(CL18=0,0,IF(CL18="ID não encontrado",0,IFERROR(VLOOKUP($CL$2,'BD - Itens x Peso'!$A:$B,2,FALSE),"Nome ou Peso não encontrado")))</f>
        <v>0</v>
      </c>
      <c r="CN18" s="42">
        <f>IFERROR(IF(C18="","Cidade não foi inserida",IF(CL18=0,0,VLOOKUP(C18,'BD - Valor Lavanderia Por Item'!A:R,17,FALSE))),"Cidade não encontrada")</f>
        <v>0</v>
      </c>
      <c r="CO18" s="42">
        <f>IFERROR(IF(AND('TaxaLimpeza (Proposta)'!$A18&lt;&gt;"", COUNTIF('Configuração-Imóvel'!$A:$A, $A18)&gt;0), CN18*CM18*CL18,"ID não encontrado"),Tabela1[[#This Row],[Valor por lavanderia '[R$/Kg']84]])</f>
        <v>0</v>
      </c>
      <c r="CP18" s="44">
        <f>IFERROR(IF(A18="",0,VLOOKUP(A18,'Estoque-Imóvel'!A:AC,28,FALSE)),"ID não encontrado")</f>
        <v>0</v>
      </c>
      <c r="CQ18" s="40">
        <f>IF(CP18=0,0,IF(CP18="ID não encontrado",0,IFERROR(VLOOKUP($CP$2,'BD - Itens x Peso'!$A:$B,2,FALSE),"Nome ou Peso não encontrado")))</f>
        <v>0</v>
      </c>
      <c r="CR18" s="42">
        <f>IFERROR(IF(C18="","Cidade não foi inserida",IF(CP18=0,0,VLOOKUP(C18,'BD - Valor Lavanderia Por Item'!A:R,18,FALSE))),"Cidade não encontrada")</f>
        <v>0</v>
      </c>
      <c r="CS18" s="42">
        <f>IFERROR(IF(AND('TaxaLimpeza (Proposta)'!$A18&lt;&gt;"", COUNTIF('Configuração-Imóvel'!$A:$A, $A18)&gt;0), CR18*CQ18*CP18,"ID não encontrado"),Tabela1[[#This Row],[Valor por lavanderia '[R$/Kg']3]])</f>
        <v>0</v>
      </c>
      <c r="CT18" s="44">
        <f>IFERROR(IF(A18="",0,VLOOKUP(A18,'Estoque-Imóvel'!A:AC,29,FALSE)),"ID não encontrado")</f>
        <v>0</v>
      </c>
      <c r="CU18" s="40">
        <f>IF(CT18=0,0,IF(CT18="ID não encontrado",0,IFERROR(VLOOKUP($CT$2,'BD - Itens x Peso'!$A:$B,2,FALSE),"Nome ou Peso não encontrado")))</f>
        <v>0</v>
      </c>
      <c r="CV18" s="42">
        <f>IFERROR(IF(C18="","Cidade não foi inserida",IF(CT18=0,0,VLOOKUP(C18,'BD - Valor Lavanderia Por Item'!A:R,16,FALSE))),"Cidade não encontrada")</f>
        <v>0</v>
      </c>
      <c r="CW18" s="45">
        <f>IFERROR(IF(AND('TaxaLimpeza (Proposta)'!$A18&lt;&gt;"", COUNTIF('Configuração-Imóvel'!$A:$A, $A18)&gt;0), CV18*CU18*CT18,"ID não encontrado"),Tabela1[[#This Row],[Valor por lavanderia '[R$/Kg']2]])</f>
        <v>0</v>
      </c>
      <c r="CX18" s="34">
        <f t="shared" si="1"/>
        <v>0</v>
      </c>
      <c r="CY18" s="68">
        <f>IFERROR(IF(A18="","",(VLOOKUP(A18,'Configuração-Imóvel'!$A$2:$R$21,16,FALSE)+VLOOKUP(A18,'Configuração-Imóvel'!$A$2:$R$21,17,FALSE))*VLOOKUP($CY$3,'BD - Amenities'!$B$2:$E$7,4,FALSE)),"ID não encontrado")</f>
        <v>0.5</v>
      </c>
      <c r="CZ18" s="69">
        <f>IFERROR(IF(A18="","",(VLOOKUP(A18,'Configuração-Imóvel'!$A$2:$R$21,16,FALSE)+VLOOKUP(A18,'Configuração-Imóvel'!$A$2:$R$21,17,FALSE))*VLOOKUP($CZ$3,'BD - Amenities'!$B$2:$E$7,4,FALSE)),"ID não encontrado")</f>
        <v>4</v>
      </c>
      <c r="DA18" s="69">
        <f>IFERROR(IF(A18="","",VLOOKUP(A18,'Configuração-Imóvel'!$A$2:$R$21,16,FALSE)*VLOOKUP($DA$3,'BD - Amenities'!$B$2:$E$7,4,FALSE)),"ID não encontrado")</f>
        <v>1.5</v>
      </c>
      <c r="DB18" s="69">
        <f>IFERROR(IF(A18="","",VLOOKUP(A18,'Configuração-Imóvel'!$A$2:$R$21,16,FALSE)*VLOOKUP($DB$3,'BD - Amenities'!$B$2:$E$7,4,FALSE)),"ID não encontrado")</f>
        <v>1.5</v>
      </c>
      <c r="DC18" s="35">
        <f t="shared" si="2"/>
        <v>7.5</v>
      </c>
      <c r="DD18" s="37">
        <f>IFERROR(IF(A18="","",VLOOKUP($DD$3,'BD - Material de Limpeza'!$A:$D,4,FALSE)),"ID não encontrado")</f>
        <v>2</v>
      </c>
      <c r="DE18" s="38">
        <f>IFERROR(IF(A18="","",VLOOKUP($DE$3,'BD - Material de Limpeza'!$A:$D,4,FALSE)),"ID não encontrado")</f>
        <v>2</v>
      </c>
      <c r="DF18" s="38">
        <f>IFERROR(IF(A18="","",VLOOKUP($DF$3,'BD - Material de Limpeza'!$A:$D,4,FALSE)),"ID não encontrado")</f>
        <v>1</v>
      </c>
      <c r="DG18" s="38">
        <f>IFERROR(IF(A18="","",VLOOKUP($DG$3,'BD - Material de Limpeza'!$A:$D,4,FALSE)),"ID não encontrado")</f>
        <v>1</v>
      </c>
      <c r="DH18" s="38">
        <f>IFERROR(IF(A18="","",VLOOKUP($DH$3,'BD - Material de Limpeza'!$A:$D,4,FALSE)),"ID não encontrado")</f>
        <v>1</v>
      </c>
      <c r="DI18" s="38">
        <f>IFERROR(IF(A18="","",VLOOKUP($DI$3,'BD - Material de Limpeza'!$A:$D,4,FALSE)),"ID não encontrado")</f>
        <v>1</v>
      </c>
      <c r="DJ18" s="38">
        <f>IFERROR(IF(A18="","",VLOOKUP($DJ$3,'BD - Material de Limpeza'!$A:$D,4,FALSE)),"ID não encontrado")</f>
        <v>1</v>
      </c>
      <c r="DK18" s="36">
        <f t="shared" si="0"/>
        <v>9</v>
      </c>
      <c r="DL18" s="72" cm="1">
        <f t="array" ref="DL18">IFERROR(IF('TaxaLimpeza (Proposta)'!$A18="","",INDEX('BD - Valor Limpeza Diarista'!B:B,INDEX('Configuração-Imóvel'!O:O,MATCH(A18,'Configuração-Imóvel'!A:A,0))+1,0)),"ID não encontrado")</f>
        <v>220</v>
      </c>
      <c r="DM18" s="67">
        <f t="shared" si="3"/>
        <v>260.15000000000003</v>
      </c>
      <c r="DN18" s="23" t="s">
        <v>189</v>
      </c>
      <c r="DP18" s="74"/>
    </row>
    <row r="19" spans="1:120" ht="15.75" customHeight="1">
      <c r="A19" s="65" t="s">
        <v>25</v>
      </c>
      <c r="B19" s="32" t="s">
        <v>154</v>
      </c>
      <c r="C19" s="32" t="s">
        <v>95</v>
      </c>
      <c r="D19" s="32" t="s">
        <v>155</v>
      </c>
      <c r="E19" s="33" t="s">
        <v>201</v>
      </c>
      <c r="F19" s="39">
        <f>IFERROR(IF(A19="",0,VLOOKUP(A19,'Estoque-Imóvel'!A:AC,6,FALSE)),"ID não encontrado")</f>
        <v>2</v>
      </c>
      <c r="G19" s="40">
        <f>IF(F19=0,0,IF(F19="ID não encontrado",0,IFERROR(VLOOKUP($F$2,'BD - Itens x Peso'!$A:$B,2,FALSE),"Nome ou Peso não encontrado")))</f>
        <v>0.24</v>
      </c>
      <c r="H19" s="41">
        <f>IFERROR(IF(C19="","Cidade não foi inserida",IF(F19=0,0,VLOOKUP(C19,'BD - Valor Lavanderia Por Item'!A:R,2,FALSE))),"Cidade não encontrada")</f>
        <v>2.7519999999999998</v>
      </c>
      <c r="I19" s="42">
        <f>IFERROR(IF(AND('TaxaLimpeza (Proposta)'!$A19&lt;&gt;"", COUNTIF('Configuração-Imóvel'!$A:$A, $A19)&gt;0), H19*G19*F19,"ID não encontrado"),H19)</f>
        <v>1.3209599999999999</v>
      </c>
      <c r="J19" s="43">
        <f>IFERROR(IF(A19="",0,VLOOKUP(A19,'Estoque-Imóvel'!A:AC,7,FALSE)),"ID não encontrado")</f>
        <v>2</v>
      </c>
      <c r="K19" s="40">
        <f>IF(J19=0,0,IF(J19="ID não encontrado",0,IFERROR(VLOOKUP($J$2,'BD - Itens x Peso'!$A:$B,2,FALSE),"Nome ou Peso não encontrado")))</f>
        <v>0.16</v>
      </c>
      <c r="L19" s="41">
        <f>IFERROR(IF(C19="","Cidade não foi inserida",IF(J19=0,0,VLOOKUP(C19,'BD - Valor Lavanderia Por Item'!A:R,3,FALSE))),"Cidade não encontrada")</f>
        <v>3.5345</v>
      </c>
      <c r="M19" s="41">
        <f>IFERROR(IF(AND('TaxaLimpeza (Proposta)'!$A19&lt;&gt;"", COUNTIF('Configuração-Imóvel'!$A:$A, $A19)&gt;0), L19*K19*J19,"ID não encontrado"),Tabela1[[#This Row],[Valor por lavanderia '[R$/Kg']4]])</f>
        <v>1.13104</v>
      </c>
      <c r="N19" s="44">
        <f>IFERROR(IF(A19="",0,VLOOKUP(A19,'Estoque-Imóvel'!A:AC,8,FALSE)),"ID não encontrado")</f>
        <v>0</v>
      </c>
      <c r="O19" s="40">
        <f>IF(N19=0,0,IF(N19="ID não encontrado",0,IFERROR(VLOOKUP($N$2,'BD - Itens x Peso'!$A:$B,2,FALSE),"Nome ou Peso não encontrado")))</f>
        <v>0</v>
      </c>
      <c r="P19" s="42">
        <f>IFERROR(IF(C19="","Cidade não foi inserida",IF(N19=0,0,VLOOKUP(C19,'BD - Valor Lavanderia Por Item'!A:R,2,FALSE))),"Cidade não encontrada")</f>
        <v>0</v>
      </c>
      <c r="Q19" s="42">
        <f>IFERROR(IF(AND('TaxaLimpeza (Proposta)'!$A19&lt;&gt;"", COUNTIF('Configuração-Imóvel'!$A:$A, $A19)&gt;0), P19*O19*N19,"ID não encontrado"),Tabela1[[#This Row],[Valor por lavanderia '[R$/Kg']8]])</f>
        <v>0</v>
      </c>
      <c r="R19" s="44">
        <f>IFERROR(IF(A19="",0,VLOOKUP(A19,'Estoque-Imóvel'!A:AC,9,FALSE)),"ID não encontrado")</f>
        <v>6</v>
      </c>
      <c r="S19" s="40">
        <f>IF(R19=0,0,IF(R19="ID não encontrado",0,IFERROR(VLOOKUP($R$2,'BD - Itens x Peso'!$A:$B,2,FALSE),"Nome ou Peso não encontrado")))</f>
        <v>0.39</v>
      </c>
      <c r="T19" s="42">
        <f>IFERROR(IF(C19="","Cidade não foi inserida",IF(R19=0,0,VLOOKUP(C19,'BD - Valor Lavanderia Por Item'!A:R,4,FALSE))),"Cidade não encontrada")</f>
        <v>4.7865000000000002</v>
      </c>
      <c r="U19" s="42">
        <f>IFERROR(IF(AND('TaxaLimpeza (Proposta)'!$A19&lt;&gt;"", COUNTIF('Configuração-Imóvel'!$A:$A, $A19)&gt;0), T19*S19*R19,"ID não encontrado"),Tabela1[[#This Row],[Valor por lavanderia '[R$/Kg']12]])</f>
        <v>11.20041</v>
      </c>
      <c r="V19" s="44">
        <f>IFERROR(IF(A19="",0,VLOOKUP(A19,'Estoque-Imóvel'!A:AC,10,FALSE)),"ID não encontrado")</f>
        <v>0</v>
      </c>
      <c r="W19" s="40">
        <f>IF(V19=0,0,IF(V19="ID não encontrado",0,IFERROR(VLOOKUP($V$2,'BD - Itens x Peso'!$A:$B,2,FALSE),"Nome ou Peso não encontrado")))</f>
        <v>0</v>
      </c>
      <c r="X19" s="42">
        <f>IFERROR(IF(C19="","Cidade não foi inserida",IF(V19=0,0,VLOOKUP(C19,'BD - Valor Lavanderia Por Item'!A:R,3,FALSE))),"Cidade não encontrada")</f>
        <v>0</v>
      </c>
      <c r="Y19" s="42">
        <f>IFERROR(IF(AND('TaxaLimpeza (Proposta)'!$A19&lt;&gt;"", COUNTIF('Configuração-Imóvel'!$A:$A, $A19)&gt;0), X19*W19*V19,"ID não encontrado"),Tabela1[[#This Row],[Valor por lavanderia '[R$/Kg']16]])</f>
        <v>0</v>
      </c>
      <c r="Z19" s="44">
        <f>IFERROR(IF(A19="",0,VLOOKUP(A19,'Estoque-Imóvel'!A:AC,11,FALSE)),"ID não encontrado")</f>
        <v>0</v>
      </c>
      <c r="AA19" s="40">
        <f>IF(Z19=0,0,IF(Z19="ID não encontrado",0,IFERROR(VLOOKUP($Z$2,'BD - Itens x Peso'!$A:$B,2,FALSE),"Nome ou Peso não encontrado")))</f>
        <v>0</v>
      </c>
      <c r="AB19" s="42">
        <f>IFERROR(IF(C19="","Cidade não foi inserida",IF(Z19=0,0,VLOOKUP(C19,'BD - Valor Lavanderia Por Item'!A:R,3,FALSE))),"Cidade não encontrada")</f>
        <v>0</v>
      </c>
      <c r="AC19" s="42">
        <f>IFERROR(IF(AND('TaxaLimpeza (Proposta)'!$A19&lt;&gt;"", COUNTIF('Configuração-Imóvel'!$A:$A, $A19)&gt;0), AB19*AA19*Z19,"ID não encontrado"),Tabela1[[#This Row],[Valor por lavanderia '[R$/Kg']20]])</f>
        <v>0</v>
      </c>
      <c r="AD19" s="44">
        <f>IFERROR(IF(A19="",0,VLOOKUP(A19,'Estoque-Imóvel'!A:AC,12,FALSE)),"ID não encontrado")</f>
        <v>4</v>
      </c>
      <c r="AE19" s="40">
        <f>IF(AD19=0,0,IF(AD19="ID não encontrado",0,IFERROR(VLOOKUP($AD$2,'BD - Itens x Peso'!$A:$B,2,FALSE),"Nome ou Peso não encontrado")))</f>
        <v>1.01</v>
      </c>
      <c r="AF19" s="42">
        <f>IFERROR(IF(C19="","Cidade não foi inserida",IF(AD19=0,0,VLOOKUP(C19,'BD - Valor Lavanderia Por Item'!A:R,9,FALSE))),"Cidade não encontrada")</f>
        <v>9.3249999999999993</v>
      </c>
      <c r="AG19" s="42">
        <f>IFERROR(IF(AND('TaxaLimpeza (Proposta)'!$A19&lt;&gt;"", COUNTIF('Configuração-Imóvel'!$A:$A, $A19)&gt;0), AF19*AE19*AD19,"ID não encontrado"),Tabela1[[#This Row],[Valor por lavanderia '[R$/Kg']24]])</f>
        <v>37.672999999999995</v>
      </c>
      <c r="AH19" s="44">
        <f>IFERROR(IF(A19="",0,VLOOKUP(A19,'Estoque-Imóvel'!A:AC,13,FALSE)),"ID não encontrado")</f>
        <v>8</v>
      </c>
      <c r="AI19" s="40">
        <f>IF(AH19=0,0,IF(AH19="ID não encontrado",0,IFERROR(VLOOKUP($AH$2,'BD - Itens x Peso'!$A:$B,2,FALSE),"Nome ou Peso não encontrado")))</f>
        <v>0.3</v>
      </c>
      <c r="AJ19" s="42">
        <f>IFERROR(IF(C19="","Cidade não foi inserida",IF(AH19=0,0,VLOOKUP(C19,'BD - Valor Lavanderia Por Item'!A:R,6,FALSE))),"Cidade não encontrada")</f>
        <v>6.1950000000000003</v>
      </c>
      <c r="AK19" s="42">
        <f>IFERROR(IF(AND('TaxaLimpeza (Proposta)'!$A19&lt;&gt;"", COUNTIF('Configuração-Imóvel'!$A:$A, $A19)&gt;0), AJ19*AI19*AH19,"ID não encontrado"),Tabela1[[#This Row],[Valor por lavanderia '[R$/Kg']28]])</f>
        <v>14.868</v>
      </c>
      <c r="AL19" s="44">
        <f>IFERROR(IF(A19="",0,VLOOKUP(A19,'Estoque-Imóvel'!A:AC,14,FALSE)),"ID não encontrado")</f>
        <v>2</v>
      </c>
      <c r="AM19" s="40">
        <f>IF(AL19=0,0,IF(AL19="ID não encontrado",0,IFERROR(VLOOKUP($AL$2,'BD - Itens x Peso'!$A:$B,2,FALSE),"Nome ou Peso não encontrado")))</f>
        <v>0.3</v>
      </c>
      <c r="AN19" s="42">
        <f>IFERROR(IF(C19="","Cidade não foi inserida",IF(AL19=0,0,VLOOKUP(C19,'BD - Valor Lavanderia Por Item'!A:R,8,FALSE))),"Cidade não encontrada")</f>
        <v>8.5425000000000004</v>
      </c>
      <c r="AO19" s="42">
        <f>IFERROR(IF(AND('TaxaLimpeza (Proposta)'!$A19&lt;&gt;"", COUNTIF('Configuração-Imóvel'!$A:$A, $A19)&gt;0), AN19*AM19*AL19,"ID não encontrado"),Tabela1[[#This Row],[Valor por lavanderia '[R$/Kg']32]])</f>
        <v>5.1254999999999997</v>
      </c>
      <c r="AP19" s="44">
        <f>IFERROR(IF(A19="",0,VLOOKUP(A19,'Estoque-Imóvel'!A:AC,15,FALSE)),"ID não encontrado")</f>
        <v>0</v>
      </c>
      <c r="AQ19" s="40">
        <f>IF(AP19=0,0,IF(AP19="ID não encontrado",0,IFERROR(VLOOKUP($AP$2,'BD - Itens x Peso'!$A:$B,2,FALSE),"Nome ou Peso não encontrado")))</f>
        <v>0</v>
      </c>
      <c r="AR19" s="42">
        <f>IFERROR(IF(C19="","Cidade não foi inserida",IF(AP19=0,0,VLOOKUP(C19,'BD - Valor Lavanderia Por Item'!A:R,8,FALSE))),"Cidade não encontrada")</f>
        <v>0</v>
      </c>
      <c r="AS19" s="42">
        <f>IFERROR(IF(AND('TaxaLimpeza (Proposta)'!$A19&lt;&gt;"", COUNTIF('Configuração-Imóvel'!$A:$A, $A19)&gt;0), AR19*AQ19*AP19,"ID não encontrado"),Tabela1[[#This Row],[Valor por lavanderia '[R$/Kg']36]])</f>
        <v>0</v>
      </c>
      <c r="AT19" s="44">
        <f>IFERROR(IF(A19="",0,VLOOKUP(A19,'Estoque-Imóvel'!A:AC,16,FALSE)),"ID não encontrado")</f>
        <v>0</v>
      </c>
      <c r="AU19" s="40">
        <f>IF(AT19=0,0,IF(AT19="ID não encontrado",0,IFERROR(VLOOKUP($AT$2,'BD - Itens x Peso'!$A:$B,2,FALSE),"Nome ou Peso não encontrado")))</f>
        <v>0</v>
      </c>
      <c r="AV19" s="42">
        <f>IFERROR(IF(C19="","Cidade não foi inserida",IF(AT19=0,0,VLOOKUP(C19,'BD - Valor Lavanderia Por Item'!A:R,7,FALSE))),"Cidade não encontrada")</f>
        <v>0</v>
      </c>
      <c r="AW19" s="42">
        <f>IFERROR(IF(AND('TaxaLimpeza (Proposta)'!$A19&lt;&gt;"", COUNTIF('Configuração-Imóvel'!$A:$A, $A19)&gt;0), AV19*AU19*AT19,"ID não encontrado"),Tabela1[[#This Row],[Valor por lavanderia '[R$/Kg']40]])</f>
        <v>0</v>
      </c>
      <c r="AX19" s="44">
        <f>IFERROR(IF(A19="",0,VLOOKUP(A19,'Estoque-Imóvel'!A:AC,17,FALSE)),"Code não encontrado")</f>
        <v>6</v>
      </c>
      <c r="AY19" s="40">
        <f>IF(AX19=0,0,IF(AX19="ID não encontrado",0,IFERROR(VLOOKUP($AX$2,'BD - Itens x Peso'!$A:$B,2,FALSE),"Nome ou Peso não encontrado")))</f>
        <v>0.19</v>
      </c>
      <c r="AZ19" s="42">
        <f>IFERROR(IF(C19="","Cidade não foi inserida",IF(AX19=0,0,VLOOKUP(C19,'BD - Valor Lavanderia Por Item'!A:R,5,FALSE))),"Cidade não encontrada")</f>
        <v>3.0649999999999999</v>
      </c>
      <c r="BA19" s="42">
        <f>IFERROR(IF(AND('TaxaLimpeza (Proposta)'!$A19&lt;&gt;"", COUNTIF('Configuração-Imóvel'!$A:$A, $A19)&gt;0), AZ19*AY19*AX19,"ID não encontrado"),Tabela1[[#This Row],[Valor por lavanderia '[R$/Kg']44]])</f>
        <v>3.4941000000000004</v>
      </c>
      <c r="BB19" s="44">
        <f>IFERROR(IF(A19="",0,VLOOKUP(A19,'Estoque-Imóvel'!A:AC,18,FALSE)),"ID não encontrado")</f>
        <v>0</v>
      </c>
      <c r="BC19" s="40">
        <f>IF(BB19=0,0,IF(BB19="ID não encontrado",0,IFERROR(VLOOKUP($BB$2,'BD - Itens x Peso'!$A:$B,2,FALSE),"Nome ou Peso não encontrado")))</f>
        <v>0</v>
      </c>
      <c r="BD19" s="42">
        <f>IFERROR(IF(C19="","Cidade não foi inserida",IF(BB19=0,0,VLOOKUP(C19,'BD - Valor Lavanderia Por Item'!A:R,11,FALSE))),"Cidade não encontrada")</f>
        <v>0</v>
      </c>
      <c r="BE19" s="42">
        <f>IFERROR(IF(AND('TaxaLimpeza (Proposta)'!$A19&lt;&gt;"", COUNTIF('Configuração-Imóvel'!$A:$A, $A19)&gt;0), BD19*BC19*BB19,"ID não encontrado"),Tabela1[[#This Row],[Valor por lavanderia '[R$/Kg']48]])</f>
        <v>0</v>
      </c>
      <c r="BF19" s="44">
        <f>IFERROR(IF(A19="",0,VLOOKUP(A19,'Estoque-Imóvel'!A:AC,19,FALSE)),"ID não encontrado")</f>
        <v>1</v>
      </c>
      <c r="BG19" s="40">
        <f>IF(BF19=0,0,IF(BF19="ID não encontrado",0,IFERROR(VLOOKUP($BF$2,'BD - Itens x Peso'!$A:$B,2,FALSE),"Nome ou Peso não encontrado")))</f>
        <v>2.62</v>
      </c>
      <c r="BH19" s="42">
        <f>IFERROR(IF(C19="","Cidade não foi inserida",IF(BF19=0,0,VLOOKUP(C19,'BD - Valor Lavanderia Por Item'!A:R,13,FALSE))),"Cidade não encontrada")</f>
        <v>41.7575</v>
      </c>
      <c r="BI19" s="42">
        <f>IFERROR(IF(AND('TaxaLimpeza (Proposta)'!$A19&lt;&gt;"", COUNTIF('Configuração-Imóvel'!$A:$A, $A19)&gt;0), BH19*BG19*BF19,"ID não encontrado"),Tabela1[[#This Row],[Valor por lavanderia '[R$/Kg']52]])</f>
        <v>109.40465</v>
      </c>
      <c r="BJ19" s="44">
        <f>IFERROR(IF(A19="",0,VLOOKUP(A19,'Estoque-Imóvel'!A:AC,20,FALSE)),"ID não encontrado")</f>
        <v>0</v>
      </c>
      <c r="BK19" s="40">
        <f>IF(BJ19=0,0,IF(BJ19="ID não encontrado",0,IFERROR(VLOOKUP($BJ$2,'BD - Itens x Peso'!$A:$B,2,FALSE),"Nome ou Peso não encontrado")))</f>
        <v>0</v>
      </c>
      <c r="BL19" s="42">
        <f>IFERROR(IF(C19="","Cidade não foi inserida",IF(BJ19=0,0,VLOOKUP(C19,'BD - Valor Lavanderia Por Item'!A:R,13,FALSE))),"Cidade não encontrada")</f>
        <v>0</v>
      </c>
      <c r="BM19" s="42">
        <f>IFERROR(IF(AND('TaxaLimpeza (Proposta)'!$A19&lt;&gt;"", COUNTIF('Configuração-Imóvel'!$A:$A, $A19)&gt;0), BL19*BK19*BJ19,"ID não encontrado"),Tabela1[[#This Row],[Valor por lavanderia '[R$/Kg']56]])</f>
        <v>0</v>
      </c>
      <c r="BN19" s="44">
        <f>IFERROR(IF(A19="",0,VLOOKUP(A19,'Estoque-Imóvel'!A:AC,21,FALSE)),"ID não encontrado")</f>
        <v>0</v>
      </c>
      <c r="BO19" s="40">
        <f>IF(BN19=0,0,IF(BN19="ID não encontrado",0,IFERROR(VLOOKUP($BN$2,'BD - Itens x Peso'!$A:$B,2,FALSE),"Nome ou Peso não encontrado")))</f>
        <v>0</v>
      </c>
      <c r="BP19" s="42">
        <f>IFERROR(IF(C19="","Cidade não foi inserida",IF(BN19=0,0,VLOOKUP(C19,'BD - Valor Lavanderia Por Item'!A:R,13,FALSE))),"Cidade não encontrada")</f>
        <v>0</v>
      </c>
      <c r="BQ19" s="42">
        <f>IFERROR(IF(AND('TaxaLimpeza (Proposta)'!$A19&lt;&gt;"", COUNTIF('Configuração-Imóvel'!$A:$A, $A19)&gt;0), BP19*BO19*BN19,"ID não encontrado"),Tabela1[[#This Row],[Valor por lavanderia '[R$/Kg']60]])</f>
        <v>0</v>
      </c>
      <c r="BR19" s="44">
        <f>IFERROR(IF(A19="",0,VLOOKUP(A19,'Estoque-Imóvel'!A:AC,22,FALSE)),"ID não encontrado")</f>
        <v>0</v>
      </c>
      <c r="BS19" s="40">
        <f>IF(BR19=0,0,IF(BR19="ID não encontrado",0,IFERROR(VLOOKUP($BR$2,'BD - Itens x Peso'!$A:$B,2,FALSE),"Nome ou Peso não encontrado. Utilizado o Edredom Solteiro como referência")))</f>
        <v>0</v>
      </c>
      <c r="BT19" s="42">
        <f>IFERROR(IF(C19="","Cidade não foi inserida",IF(BR19=0,0,VLOOKUP(C19,'BD - Valor Lavanderia Por Item'!A:R,11,FALSE))),"Cidade não encontrada")</f>
        <v>0</v>
      </c>
      <c r="BU19" s="42">
        <f>IFERROR(IF(AND('TaxaLimpeza (Proposta)'!$A19&lt;&gt;"", COUNTIF('Configuração-Imóvel'!$A:$A, $A19)&gt;0), BT19*BS19*BR19,"ID não encontrado"),BT19*VLOOKUP($BB$2,'BD - Itens x Peso'!$A:$B,2,FALSE)*BR19)</f>
        <v>0</v>
      </c>
      <c r="BV19" s="44">
        <f>IFERROR(IF(A19="",0,VLOOKUP(A19,'Estoque-Imóvel'!A:AC,23,FALSE)),"ID não encontrado")</f>
        <v>0</v>
      </c>
      <c r="BW19" s="40">
        <f>IF(BV19=0,0,IF(BV19="ID não encontrado",0,IFERROR(VLOOKUP($BV$2,'BD - Itens x Peso'!$A:$B,2,FALSE),"Nome ou Peso não encontrado. Utilizado o Edredom Queen Size como referência")))</f>
        <v>0</v>
      </c>
      <c r="BX19" s="42">
        <f>IFERROR(IF(C19="","Cidade não foi inserida",IF(BV19=0,0,VLOOKUP(C19,'BD - Valor Lavanderia Por Item'!A:R,13,FALSE))),"Cidade não encontrada")</f>
        <v>0</v>
      </c>
      <c r="BY19" s="42">
        <f>IFERROR(IF(AND('TaxaLimpeza (Proposta)'!$A19&lt;&gt;"",COUNTIF('Configuração-Imóvel'!$A:$A,$A19)&gt;0),BX19*BW19*BV19,"ID não encontrado"),BX19*(VLOOKUP($BF$2,'BD - Itens x Peso'!$A:$B,2,FALSE)*BV19))</f>
        <v>0</v>
      </c>
      <c r="BZ19" s="44">
        <f>IFERROR(IF(A19="",0,VLOOKUP(A19,'Estoque-Imóvel'!A:AC,24,FALSE)),"ID não encontrado")</f>
        <v>0</v>
      </c>
      <c r="CA19" s="40">
        <f>IF(BZ19=0,0,IF(BZ19="ID não encontrado",0,IFERROR(VLOOKUP($BZ$2,'BD - Itens x Peso'!$A:$B,2,FALSE),"Nome ou Peso não encontrado. Utilizado o peso do Edredom Casal como referência")))</f>
        <v>0</v>
      </c>
      <c r="CB19" s="42">
        <f>IFERROR(IF(C19="","Cidade não foi inserida",IF(BZ19=0,0,VLOOKUP(C19,'BD - Valor Lavanderia Por Item'!A:R,12,FALSE))),"Cidade não encontrada")</f>
        <v>0</v>
      </c>
      <c r="CC19" s="42">
        <f>IFERROR(IF(AND('TaxaLimpeza (Proposta)'!$A19&lt;&gt;"", COUNTIF('Configuração-Imóvel'!$A:$A, $A19)&gt;0), CB19*CA19*BZ19,"ID não encontrado"),VLOOKUP($BN$2,'BD - Itens x Peso'!$A:$B,2,FALSE)*CB19*BZ19)</f>
        <v>0</v>
      </c>
      <c r="CD19" s="44">
        <f>IFERROR(IF(A19="",0,VLOOKUP(A19,'Estoque-Imóvel'!A:AC,25,FALSE)),"ID não encontrado")</f>
        <v>0</v>
      </c>
      <c r="CE19" s="40">
        <f>IF(CD19=0,0,IF(CD19="ID não encontrado",0,IFERROR(VLOOKUP($CD$2,'BD - Itens x Peso'!$A:$B,2,FALSE),"Nome ou Peso não encontrado. Utilizado o Edredom Queen Size como referência")))</f>
        <v>0</v>
      </c>
      <c r="CF19" s="42">
        <f>IFERROR(IF(C19="","Cidade não foi inserida",IF(CD19=0,0,VLOOKUP(C19,'BD - Valor Lavanderia Por Item'!A:R,13,FALSE))),"Cidade não encontrada")</f>
        <v>0</v>
      </c>
      <c r="CG19" s="42">
        <f>IFERROR(IF(AND('TaxaLimpeza (Proposta)'!$A19&lt;&gt;"", COUNTIF('Configuração-Imóvel'!$A:$A, $A19)&gt;0), CF19*CE19*CD19,"ID não encontrado"),VLOOKUP($BF$2,'BD - Itens x Peso'!$A:$B,2,FALSE)*CF19*CD19)</f>
        <v>0</v>
      </c>
      <c r="CH19" s="44">
        <f>IFERROR(IF(A19="",0,VLOOKUP(A19,'Estoque-Imóvel'!A:AC,26,FALSE)),"ID não encontrado")</f>
        <v>0</v>
      </c>
      <c r="CI19" s="40">
        <f>IF(CH19=0,0,IF(CH19="ID não encontrado",0,IFERROR(VLOOKUP($CH$2,'BD - Itens x Peso'!$A:$B,2,FALSE),"Nome ou Peso não encontrado")))</f>
        <v>0</v>
      </c>
      <c r="CJ19" s="42">
        <f>IFERROR(IF(C19="","Cidade não foi inserida",IF(CH19=0,0,VLOOKUP(C19,'BD - Valor Lavanderia Por Item'!A:R,15,FALSE))),"Cidade não encontrada")</f>
        <v>0</v>
      </c>
      <c r="CK19" s="42">
        <f>IFERROR(IF(AND('TaxaLimpeza (Proposta)'!$A19&lt;&gt;"", COUNTIF('Configuração-Imóvel'!$A:$A, $A19)&gt;0), CJ19*CI19*CH19,"ID não encontrado"),Tabela1[[#This Row],[Valor por lavanderia '[R$/Kg']80]])</f>
        <v>0</v>
      </c>
      <c r="CL19" s="44">
        <f>IFERROR(IF(A19="",0,VLOOKUP(A19,'Estoque-Imóvel'!A:AC,27,FALSE)),"ID não encontrado")</f>
        <v>1</v>
      </c>
      <c r="CM19" s="40">
        <f>IF(CL19=0,0,IF(CL19="ID não encontrado",0,IFERROR(VLOOKUP($CL$2,'BD - Itens x Peso'!$A:$B,2,FALSE),"Nome ou Peso não encontrado")))</f>
        <v>1.56</v>
      </c>
      <c r="CN19" s="42">
        <f>IFERROR(IF(C19="","Cidade não foi inserida",IF(CL19=0,0,VLOOKUP(C19,'BD - Valor Lavanderia Por Item'!A:R,17,FALSE))),"Cidade não encontrada")</f>
        <v>16.457000000000001</v>
      </c>
      <c r="CO19" s="42">
        <f>IFERROR(IF(AND('TaxaLimpeza (Proposta)'!$A19&lt;&gt;"", COUNTIF('Configuração-Imóvel'!$A:$A, $A19)&gt;0), CN19*CM19*CL19,"ID não encontrado"),Tabela1[[#This Row],[Valor por lavanderia '[R$/Kg']84]])</f>
        <v>25.672920000000001</v>
      </c>
      <c r="CP19" s="44">
        <f>IFERROR(IF(A19="",0,VLOOKUP(A19,'Estoque-Imóvel'!A:AC,28,FALSE)),"ID não encontrado")</f>
        <v>0</v>
      </c>
      <c r="CQ19" s="40">
        <f>IF(CP19=0,0,IF(CP19="ID não encontrado",0,IFERROR(VLOOKUP($CP$2,'BD - Itens x Peso'!$A:$B,2,FALSE),"Nome ou Peso não encontrado")))</f>
        <v>0</v>
      </c>
      <c r="CR19" s="42">
        <f>IFERROR(IF(C19="","Cidade não foi inserida",IF(CP19=0,0,VLOOKUP(C19,'BD - Valor Lavanderia Por Item'!A:R,18,FALSE))),"Cidade não encontrada")</f>
        <v>0</v>
      </c>
      <c r="CS19" s="42">
        <f>IFERROR(IF(AND('TaxaLimpeza (Proposta)'!$A19&lt;&gt;"", COUNTIF('Configuração-Imóvel'!$A:$A, $A19)&gt;0), CR19*CQ19*CP19,"ID não encontrado"),Tabela1[[#This Row],[Valor por lavanderia '[R$/Kg']3]])</f>
        <v>0</v>
      </c>
      <c r="CT19" s="44">
        <f>IFERROR(IF(A19="",0,VLOOKUP(A19,'Estoque-Imóvel'!A:AC,29,FALSE)),"ID não encontrado")</f>
        <v>0</v>
      </c>
      <c r="CU19" s="40">
        <f>IF(CT19=0,0,IF(CT19="ID não encontrado",0,IFERROR(VLOOKUP($CT$2,'BD - Itens x Peso'!$A:$B,2,FALSE),"Nome ou Peso não encontrado")))</f>
        <v>0</v>
      </c>
      <c r="CV19" s="42">
        <f>IFERROR(IF(C19="","Cidade não foi inserida",IF(CT19=0,0,VLOOKUP(C19,'BD - Valor Lavanderia Por Item'!A:R,16,FALSE))),"Cidade não encontrada")</f>
        <v>0</v>
      </c>
      <c r="CW19" s="45">
        <f>IFERROR(IF(AND('TaxaLimpeza (Proposta)'!$A19&lt;&gt;"", COUNTIF('Configuração-Imóvel'!$A:$A, $A19)&gt;0), CV19*CU19*CT19,"ID não encontrado"),Tabela1[[#This Row],[Valor por lavanderia '[R$/Kg']2]])</f>
        <v>0</v>
      </c>
      <c r="CX19" s="34">
        <f t="shared" si="1"/>
        <v>209.89058</v>
      </c>
      <c r="CY19" s="68">
        <f>IFERROR(IF(A19="","",(VLOOKUP(A19,'Configuração-Imóvel'!$A$2:$R$21,16,FALSE)+VLOOKUP(A19,'Configuração-Imóvel'!$A$2:$R$21,17,FALSE))*VLOOKUP($CY$3,'BD - Amenities'!$B$2:$E$7,4,FALSE)),"ID não encontrado")</f>
        <v>0.5</v>
      </c>
      <c r="CZ19" s="69">
        <f>IFERROR(IF(A19="","",(VLOOKUP(A19,'Configuração-Imóvel'!$A$2:$R$21,16,FALSE)+VLOOKUP(A19,'Configuração-Imóvel'!$A$2:$R$21,17,FALSE))*VLOOKUP($CZ$3,'BD - Amenities'!$B$2:$E$7,4,FALSE)),"ID não encontrado")</f>
        <v>4</v>
      </c>
      <c r="DA19" s="69">
        <f>IFERROR(IF(A19="","",VLOOKUP(A19,'Configuração-Imóvel'!$A$2:$R$21,16,FALSE)*VLOOKUP($DA$3,'BD - Amenities'!$B$2:$E$7,4,FALSE)),"ID não encontrado")</f>
        <v>1.5</v>
      </c>
      <c r="DB19" s="69">
        <f>IFERROR(IF(A19="","",VLOOKUP(A19,'Configuração-Imóvel'!$A$2:$R$21,16,FALSE)*VLOOKUP($DB$3,'BD - Amenities'!$B$2:$E$7,4,FALSE)),"ID não encontrado")</f>
        <v>1.5</v>
      </c>
      <c r="DC19" s="35">
        <f t="shared" si="2"/>
        <v>7.5</v>
      </c>
      <c r="DD19" s="37">
        <f>IFERROR(IF(A19="","",VLOOKUP($DD$3,'BD - Material de Limpeza'!$A:$D,4,FALSE)),"ID não encontrado")</f>
        <v>2</v>
      </c>
      <c r="DE19" s="38">
        <f>IFERROR(IF(A19="","",VLOOKUP($DE$3,'BD - Material de Limpeza'!$A:$D,4,FALSE)),"ID não encontrado")</f>
        <v>2</v>
      </c>
      <c r="DF19" s="38">
        <f>IFERROR(IF(A19="","",VLOOKUP($DF$3,'BD - Material de Limpeza'!$A:$D,4,FALSE)),"ID não encontrado")</f>
        <v>1</v>
      </c>
      <c r="DG19" s="38">
        <f>IFERROR(IF(A19="","",VLOOKUP($DG$3,'BD - Material de Limpeza'!$A:$D,4,FALSE)),"ID não encontrado")</f>
        <v>1</v>
      </c>
      <c r="DH19" s="38">
        <f>IFERROR(IF(A19="","",VLOOKUP($DH$3,'BD - Material de Limpeza'!$A:$D,4,FALSE)),"ID não encontrado")</f>
        <v>1</v>
      </c>
      <c r="DI19" s="38">
        <f>IFERROR(IF(A19="","",VLOOKUP($DI$3,'BD - Material de Limpeza'!$A:$D,4,FALSE)),"ID não encontrado")</f>
        <v>1</v>
      </c>
      <c r="DJ19" s="38">
        <f>IFERROR(IF(A19="","",VLOOKUP($DJ$3,'BD - Material de Limpeza'!$A:$D,4,FALSE)),"ID não encontrado")</f>
        <v>1</v>
      </c>
      <c r="DK19" s="36">
        <f t="shared" si="0"/>
        <v>9</v>
      </c>
      <c r="DL19" s="72" cm="1">
        <f t="array" ref="DL19">IFERROR(IF('TaxaLimpeza (Proposta)'!$A19="","",INDEX('BD - Valor Limpeza Diarista'!B:B,INDEX('Configuração-Imóvel'!O:O,MATCH(A19,'Configuração-Imóvel'!A:A,0))+1,0)),"ID não encontrado")</f>
        <v>220</v>
      </c>
      <c r="DM19" s="67">
        <f t="shared" si="3"/>
        <v>491.02963800000003</v>
      </c>
      <c r="DN19" s="23" t="s">
        <v>190</v>
      </c>
      <c r="DP19" s="74"/>
    </row>
    <row r="20" spans="1:120" ht="15.75" customHeight="1">
      <c r="A20" s="65" t="s">
        <v>26</v>
      </c>
      <c r="B20" s="32" t="s">
        <v>154</v>
      </c>
      <c r="C20" s="32" t="s">
        <v>95</v>
      </c>
      <c r="D20" s="32" t="s">
        <v>155</v>
      </c>
      <c r="E20" s="33" t="s">
        <v>201</v>
      </c>
      <c r="F20" s="39">
        <f>IFERROR(IF(A20="",0,VLOOKUP(A20,'Estoque-Imóvel'!A:AC,6,FALSE)),"ID não encontrado")</f>
        <v>0</v>
      </c>
      <c r="G20" s="40">
        <f>IF(F20=0,0,IF(F20="ID não encontrado",0,IFERROR(VLOOKUP($F$2,'BD - Itens x Peso'!$A:$B,2,FALSE),"Nome ou Peso não encontrado")))</f>
        <v>0</v>
      </c>
      <c r="H20" s="41">
        <f>IFERROR(IF(C20="","Cidade não foi inserida",IF(F20=0,0,VLOOKUP(C20,'BD - Valor Lavanderia Por Item'!A:R,2,FALSE))),"Cidade não encontrada")</f>
        <v>0</v>
      </c>
      <c r="I20" s="42">
        <f>IFERROR(IF(AND('TaxaLimpeza (Proposta)'!$A20&lt;&gt;"", COUNTIF('Configuração-Imóvel'!$A:$A, $A20)&gt;0), H20*G20*F20,"ID não encontrado"),H20)</f>
        <v>0</v>
      </c>
      <c r="J20" s="43">
        <f>IFERROR(IF(A20="",0,VLOOKUP(A20,'Estoque-Imóvel'!A:AC,7,FALSE)),"ID não encontrado")</f>
        <v>0</v>
      </c>
      <c r="K20" s="40">
        <f>IF(J20=0,0,IF(J20="ID não encontrado",0,IFERROR(VLOOKUP($J$2,'BD - Itens x Peso'!$A:$B,2,FALSE),"Nome ou Peso não encontrado")))</f>
        <v>0</v>
      </c>
      <c r="L20" s="41">
        <f>IFERROR(IF(C20="","Cidade não foi inserida",IF(J20=0,0,VLOOKUP(C20,'BD - Valor Lavanderia Por Item'!A:R,3,FALSE))),"Cidade não encontrada")</f>
        <v>0</v>
      </c>
      <c r="M20" s="41">
        <f>IFERROR(IF(AND('TaxaLimpeza (Proposta)'!$A20&lt;&gt;"", COUNTIF('Configuração-Imóvel'!$A:$A, $A20)&gt;0), L20*K20*J20,"ID não encontrado"),Tabela1[[#This Row],[Valor por lavanderia '[R$/Kg']4]])</f>
        <v>0</v>
      </c>
      <c r="N20" s="44">
        <f>IFERROR(IF(A20="",0,VLOOKUP(A20,'Estoque-Imóvel'!A:AC,8,FALSE)),"ID não encontrado")</f>
        <v>0</v>
      </c>
      <c r="O20" s="40">
        <f>IF(N20=0,0,IF(N20="ID não encontrado",0,IFERROR(VLOOKUP($N$2,'BD - Itens x Peso'!$A:$B,2,FALSE),"Nome ou Peso não encontrado")))</f>
        <v>0</v>
      </c>
      <c r="P20" s="42">
        <f>IFERROR(IF(C20="","Cidade não foi inserida",IF(N20=0,0,VLOOKUP(C20,'BD - Valor Lavanderia Por Item'!A:R,2,FALSE))),"Cidade não encontrada")</f>
        <v>0</v>
      </c>
      <c r="Q20" s="42">
        <f>IFERROR(IF(AND('TaxaLimpeza (Proposta)'!$A20&lt;&gt;"", COUNTIF('Configuração-Imóvel'!$A:$A, $A20)&gt;0), P20*O20*N20,"ID não encontrado"),Tabela1[[#This Row],[Valor por lavanderia '[R$/Kg']8]])</f>
        <v>0</v>
      </c>
      <c r="R20" s="44">
        <f>IFERROR(IF(A20="",0,VLOOKUP(A20,'Estoque-Imóvel'!A:AC,9,FALSE)),"ID não encontrado")</f>
        <v>0</v>
      </c>
      <c r="S20" s="40">
        <f>IF(R20=0,0,IF(R20="ID não encontrado",0,IFERROR(VLOOKUP($R$2,'BD - Itens x Peso'!$A:$B,2,FALSE),"Nome ou Peso não encontrado")))</f>
        <v>0</v>
      </c>
      <c r="T20" s="42">
        <f>IFERROR(IF(C20="","Cidade não foi inserida",IF(R20=0,0,VLOOKUP(C20,'BD - Valor Lavanderia Por Item'!A:R,4,FALSE))),"Cidade não encontrada")</f>
        <v>0</v>
      </c>
      <c r="U20" s="42">
        <f>IFERROR(IF(AND('TaxaLimpeza (Proposta)'!$A20&lt;&gt;"", COUNTIF('Configuração-Imóvel'!$A:$A, $A20)&gt;0), T20*S20*R20,"ID não encontrado"),Tabela1[[#This Row],[Valor por lavanderia '[R$/Kg']12]])</f>
        <v>0</v>
      </c>
      <c r="V20" s="44">
        <f>IFERROR(IF(A20="",0,VLOOKUP(A20,'Estoque-Imóvel'!A:AC,10,FALSE)),"ID não encontrado")</f>
        <v>0</v>
      </c>
      <c r="W20" s="40">
        <f>IF(V20=0,0,IF(V20="ID não encontrado",0,IFERROR(VLOOKUP($V$2,'BD - Itens x Peso'!$A:$B,2,FALSE),"Nome ou Peso não encontrado")))</f>
        <v>0</v>
      </c>
      <c r="X20" s="42">
        <f>IFERROR(IF(C20="","Cidade não foi inserida",IF(V20=0,0,VLOOKUP(C20,'BD - Valor Lavanderia Por Item'!A:R,3,FALSE))),"Cidade não encontrada")</f>
        <v>0</v>
      </c>
      <c r="Y20" s="42">
        <f>IFERROR(IF(AND('TaxaLimpeza (Proposta)'!$A20&lt;&gt;"", COUNTIF('Configuração-Imóvel'!$A:$A, $A20)&gt;0), X20*W20*V20,"ID não encontrado"),Tabela1[[#This Row],[Valor por lavanderia '[R$/Kg']16]])</f>
        <v>0</v>
      </c>
      <c r="Z20" s="44">
        <f>IFERROR(IF(A20="",0,VLOOKUP(A20,'Estoque-Imóvel'!A:AC,11,FALSE)),"ID não encontrado")</f>
        <v>0</v>
      </c>
      <c r="AA20" s="40">
        <f>IF(Z20=0,0,IF(Z20="ID não encontrado",0,IFERROR(VLOOKUP($Z$2,'BD - Itens x Peso'!$A:$B,2,FALSE),"Nome ou Peso não encontrado")))</f>
        <v>0</v>
      </c>
      <c r="AB20" s="42">
        <f>IFERROR(IF(C20="","Cidade não foi inserida",IF(Z20=0,0,VLOOKUP(C20,'BD - Valor Lavanderia Por Item'!A:R,3,FALSE))),"Cidade não encontrada")</f>
        <v>0</v>
      </c>
      <c r="AC20" s="42">
        <f>IFERROR(IF(AND('TaxaLimpeza (Proposta)'!$A20&lt;&gt;"", COUNTIF('Configuração-Imóvel'!$A:$A, $A20)&gt;0), AB20*AA20*Z20,"ID não encontrado"),Tabela1[[#This Row],[Valor por lavanderia '[R$/Kg']20]])</f>
        <v>0</v>
      </c>
      <c r="AD20" s="44">
        <f>IFERROR(IF(A20="",0,VLOOKUP(A20,'Estoque-Imóvel'!A:AC,12,FALSE)),"ID não encontrado")</f>
        <v>0</v>
      </c>
      <c r="AE20" s="40">
        <f>IF(AD20=0,0,IF(AD20="ID não encontrado",0,IFERROR(VLOOKUP($AD$2,'BD - Itens x Peso'!$A:$B,2,FALSE),"Nome ou Peso não encontrado")))</f>
        <v>0</v>
      </c>
      <c r="AF20" s="42">
        <f>IFERROR(IF(C20="","Cidade não foi inserida",IF(AD20=0,0,VLOOKUP(C20,'BD - Valor Lavanderia Por Item'!A:R,9,FALSE))),"Cidade não encontrada")</f>
        <v>0</v>
      </c>
      <c r="AG20" s="42">
        <f>IFERROR(IF(AND('TaxaLimpeza (Proposta)'!$A20&lt;&gt;"", COUNTIF('Configuração-Imóvel'!$A:$A, $A20)&gt;0), AF20*AE20*AD20,"ID não encontrado"),Tabela1[[#This Row],[Valor por lavanderia '[R$/Kg']24]])</f>
        <v>0</v>
      </c>
      <c r="AH20" s="44">
        <f>IFERROR(IF(A20="",0,VLOOKUP(A20,'Estoque-Imóvel'!A:AC,13,FALSE)),"ID não encontrado")</f>
        <v>0</v>
      </c>
      <c r="AI20" s="40">
        <f>IF(AH20=0,0,IF(AH20="ID não encontrado",0,IFERROR(VLOOKUP($AH$2,'BD - Itens x Peso'!$A:$B,2,FALSE),"Nome ou Peso não encontrado")))</f>
        <v>0</v>
      </c>
      <c r="AJ20" s="42">
        <f>IFERROR(IF(C20="","Cidade não foi inserida",IF(AH20=0,0,VLOOKUP(C20,'BD - Valor Lavanderia Por Item'!A:R,6,FALSE))),"Cidade não encontrada")</f>
        <v>0</v>
      </c>
      <c r="AK20" s="42">
        <f>IFERROR(IF(AND('TaxaLimpeza (Proposta)'!$A20&lt;&gt;"", COUNTIF('Configuração-Imóvel'!$A:$A, $A20)&gt;0), AJ20*AI20*AH20,"ID não encontrado"),Tabela1[[#This Row],[Valor por lavanderia '[R$/Kg']28]])</f>
        <v>0</v>
      </c>
      <c r="AL20" s="44">
        <f>IFERROR(IF(A20="",0,VLOOKUP(A20,'Estoque-Imóvel'!A:AC,14,FALSE)),"ID não encontrado")</f>
        <v>0</v>
      </c>
      <c r="AM20" s="40">
        <f>IF(AL20=0,0,IF(AL20="ID não encontrado",0,IFERROR(VLOOKUP($AL$2,'BD - Itens x Peso'!$A:$B,2,FALSE),"Nome ou Peso não encontrado")))</f>
        <v>0</v>
      </c>
      <c r="AN20" s="42">
        <f>IFERROR(IF(C20="","Cidade não foi inserida",IF(AL20=0,0,VLOOKUP(C20,'BD - Valor Lavanderia Por Item'!A:R,8,FALSE))),"Cidade não encontrada")</f>
        <v>0</v>
      </c>
      <c r="AO20" s="42">
        <f>IFERROR(IF(AND('TaxaLimpeza (Proposta)'!$A20&lt;&gt;"", COUNTIF('Configuração-Imóvel'!$A:$A, $A20)&gt;0), AN20*AM20*AL20,"ID não encontrado"),Tabela1[[#This Row],[Valor por lavanderia '[R$/Kg']32]])</f>
        <v>0</v>
      </c>
      <c r="AP20" s="44">
        <f>IFERROR(IF(A20="",0,VLOOKUP(A20,'Estoque-Imóvel'!A:AC,15,FALSE)),"ID não encontrado")</f>
        <v>0</v>
      </c>
      <c r="AQ20" s="40">
        <f>IF(AP20=0,0,IF(AP20="ID não encontrado",0,IFERROR(VLOOKUP($AP$2,'BD - Itens x Peso'!$A:$B,2,FALSE),"Nome ou Peso não encontrado")))</f>
        <v>0</v>
      </c>
      <c r="AR20" s="42">
        <f>IFERROR(IF(C20="","Cidade não foi inserida",IF(AP20=0,0,VLOOKUP(C20,'BD - Valor Lavanderia Por Item'!A:R,8,FALSE))),"Cidade não encontrada")</f>
        <v>0</v>
      </c>
      <c r="AS20" s="42">
        <f>IFERROR(IF(AND('TaxaLimpeza (Proposta)'!$A20&lt;&gt;"", COUNTIF('Configuração-Imóvel'!$A:$A, $A20)&gt;0), AR20*AQ20*AP20,"ID não encontrado"),Tabela1[[#This Row],[Valor por lavanderia '[R$/Kg']36]])</f>
        <v>0</v>
      </c>
      <c r="AT20" s="44">
        <f>IFERROR(IF(A20="",0,VLOOKUP(A20,'Estoque-Imóvel'!A:AC,16,FALSE)),"ID não encontrado")</f>
        <v>0</v>
      </c>
      <c r="AU20" s="40">
        <f>IF(AT20=0,0,IF(AT20="ID não encontrado",0,IFERROR(VLOOKUP($AT$2,'BD - Itens x Peso'!$A:$B,2,FALSE),"Nome ou Peso não encontrado")))</f>
        <v>0</v>
      </c>
      <c r="AV20" s="42">
        <f>IFERROR(IF(C20="","Cidade não foi inserida",IF(AT20=0,0,VLOOKUP(C20,'BD - Valor Lavanderia Por Item'!A:R,7,FALSE))),"Cidade não encontrada")</f>
        <v>0</v>
      </c>
      <c r="AW20" s="42">
        <f>IFERROR(IF(AND('TaxaLimpeza (Proposta)'!$A20&lt;&gt;"", COUNTIF('Configuração-Imóvel'!$A:$A, $A20)&gt;0), AV20*AU20*AT20,"ID não encontrado"),Tabela1[[#This Row],[Valor por lavanderia '[R$/Kg']40]])</f>
        <v>0</v>
      </c>
      <c r="AX20" s="44">
        <f>IFERROR(IF(A20="",0,VLOOKUP(A20,'Estoque-Imóvel'!A:AC,17,FALSE)),"Code não encontrado")</f>
        <v>0</v>
      </c>
      <c r="AY20" s="40">
        <f>IF(AX20=0,0,IF(AX20="ID não encontrado",0,IFERROR(VLOOKUP($AX$2,'BD - Itens x Peso'!$A:$B,2,FALSE),"Nome ou Peso não encontrado")))</f>
        <v>0</v>
      </c>
      <c r="AZ20" s="42">
        <f>IFERROR(IF(C20="","Cidade não foi inserida",IF(AX20=0,0,VLOOKUP(C20,'BD - Valor Lavanderia Por Item'!A:R,5,FALSE))),"Cidade não encontrada")</f>
        <v>0</v>
      </c>
      <c r="BA20" s="42">
        <f>IFERROR(IF(AND('TaxaLimpeza (Proposta)'!$A20&lt;&gt;"", COUNTIF('Configuração-Imóvel'!$A:$A, $A20)&gt;0), AZ20*AY20*AX20,"ID não encontrado"),Tabela1[[#This Row],[Valor por lavanderia '[R$/Kg']44]])</f>
        <v>0</v>
      </c>
      <c r="BB20" s="44">
        <f>IFERROR(IF(A20="",0,VLOOKUP(A20,'Estoque-Imóvel'!A:AC,18,FALSE)),"ID não encontrado")</f>
        <v>0</v>
      </c>
      <c r="BC20" s="40">
        <f>IF(BB20=0,0,IF(BB20="ID não encontrado",0,IFERROR(VLOOKUP($BB$2,'BD - Itens x Peso'!$A:$B,2,FALSE),"Nome ou Peso não encontrado")))</f>
        <v>0</v>
      </c>
      <c r="BD20" s="42">
        <f>IFERROR(IF(C20="","Cidade não foi inserida",IF(BB20=0,0,VLOOKUP(C20,'BD - Valor Lavanderia Por Item'!A:R,11,FALSE))),"Cidade não encontrada")</f>
        <v>0</v>
      </c>
      <c r="BE20" s="42">
        <f>IFERROR(IF(AND('TaxaLimpeza (Proposta)'!$A20&lt;&gt;"", COUNTIF('Configuração-Imóvel'!$A:$A, $A20)&gt;0), BD20*BC20*BB20,"ID não encontrado"),Tabela1[[#This Row],[Valor por lavanderia '[R$/Kg']48]])</f>
        <v>0</v>
      </c>
      <c r="BF20" s="44">
        <f>IFERROR(IF(A20="",0,VLOOKUP(A20,'Estoque-Imóvel'!A:AC,19,FALSE)),"ID não encontrado")</f>
        <v>0</v>
      </c>
      <c r="BG20" s="40">
        <f>IF(BF20=0,0,IF(BF20="ID não encontrado",0,IFERROR(VLOOKUP($BF$2,'BD - Itens x Peso'!$A:$B,2,FALSE),"Nome ou Peso não encontrado")))</f>
        <v>0</v>
      </c>
      <c r="BH20" s="42">
        <f>IFERROR(IF(C20="","Cidade não foi inserida",IF(BF20=0,0,VLOOKUP(C20,'BD - Valor Lavanderia Por Item'!A:R,13,FALSE))),"Cidade não encontrada")</f>
        <v>0</v>
      </c>
      <c r="BI20" s="42">
        <f>IFERROR(IF(AND('TaxaLimpeza (Proposta)'!$A20&lt;&gt;"", COUNTIF('Configuração-Imóvel'!$A:$A, $A20)&gt;0), BH20*BG20*BF20,"ID não encontrado"),Tabela1[[#This Row],[Valor por lavanderia '[R$/Kg']52]])</f>
        <v>0</v>
      </c>
      <c r="BJ20" s="44">
        <f>IFERROR(IF(A20="",0,VLOOKUP(A20,'Estoque-Imóvel'!A:AC,20,FALSE)),"ID não encontrado")</f>
        <v>0</v>
      </c>
      <c r="BK20" s="40">
        <f>IF(BJ20=0,0,IF(BJ20="ID não encontrado",0,IFERROR(VLOOKUP($BJ$2,'BD - Itens x Peso'!$A:$B,2,FALSE),"Nome ou Peso não encontrado")))</f>
        <v>0</v>
      </c>
      <c r="BL20" s="42">
        <f>IFERROR(IF(C20="","Cidade não foi inserida",IF(BJ20=0,0,VLOOKUP(C20,'BD - Valor Lavanderia Por Item'!A:R,13,FALSE))),"Cidade não encontrada")</f>
        <v>0</v>
      </c>
      <c r="BM20" s="42">
        <f>IFERROR(IF(AND('TaxaLimpeza (Proposta)'!$A20&lt;&gt;"", COUNTIF('Configuração-Imóvel'!$A:$A, $A20)&gt;0), BL20*BK20*BJ20,"ID não encontrado"),Tabela1[[#This Row],[Valor por lavanderia '[R$/Kg']56]])</f>
        <v>0</v>
      </c>
      <c r="BN20" s="44">
        <f>IFERROR(IF(A20="",0,VLOOKUP(A20,'Estoque-Imóvel'!A:AC,21,FALSE)),"ID não encontrado")</f>
        <v>0</v>
      </c>
      <c r="BO20" s="40">
        <f>IF(BN20=0,0,IF(BN20="ID não encontrado",0,IFERROR(VLOOKUP($BN$2,'BD - Itens x Peso'!$A:$B,2,FALSE),"Nome ou Peso não encontrado")))</f>
        <v>0</v>
      </c>
      <c r="BP20" s="42">
        <f>IFERROR(IF(C20="","Cidade não foi inserida",IF(BN20=0,0,VLOOKUP(C20,'BD - Valor Lavanderia Por Item'!A:R,13,FALSE))),"Cidade não encontrada")</f>
        <v>0</v>
      </c>
      <c r="BQ20" s="42">
        <f>IFERROR(IF(AND('TaxaLimpeza (Proposta)'!$A20&lt;&gt;"", COUNTIF('Configuração-Imóvel'!$A:$A, $A20)&gt;0), BP20*BO20*BN20,"ID não encontrado"),Tabela1[[#This Row],[Valor por lavanderia '[R$/Kg']60]])</f>
        <v>0</v>
      </c>
      <c r="BR20" s="44">
        <f>IFERROR(IF(A20="",0,VLOOKUP(A20,'Estoque-Imóvel'!A:AC,22,FALSE)),"ID não encontrado")</f>
        <v>0</v>
      </c>
      <c r="BS20" s="40">
        <f>IF(BR20=0,0,IF(BR20="ID não encontrado",0,IFERROR(VLOOKUP($BR$2,'BD - Itens x Peso'!$A:$B,2,FALSE),"Nome ou Peso não encontrado. Utilizado o Edredom Solteiro como referência")))</f>
        <v>0</v>
      </c>
      <c r="BT20" s="42">
        <f>IFERROR(IF(C20="","Cidade não foi inserida",IF(BR20=0,0,VLOOKUP(C20,'BD - Valor Lavanderia Por Item'!A:R,11,FALSE))),"Cidade não encontrada")</f>
        <v>0</v>
      </c>
      <c r="BU20" s="42">
        <f>IFERROR(IF(AND('TaxaLimpeza (Proposta)'!$A20&lt;&gt;"", COUNTIF('Configuração-Imóvel'!$A:$A, $A20)&gt;0), BT20*BS20*BR20,"ID não encontrado"),BT20*VLOOKUP($BB$2,'BD - Itens x Peso'!$A:$B,2,FALSE)*BR20)</f>
        <v>0</v>
      </c>
      <c r="BV20" s="44">
        <f>IFERROR(IF(A20="",0,VLOOKUP(A20,'Estoque-Imóvel'!A:AC,23,FALSE)),"ID não encontrado")</f>
        <v>0</v>
      </c>
      <c r="BW20" s="40">
        <f>IF(BV20=0,0,IF(BV20="ID não encontrado",0,IFERROR(VLOOKUP($BV$2,'BD - Itens x Peso'!$A:$B,2,FALSE),"Nome ou Peso não encontrado. Utilizado o Edredom Queen Size como referência")))</f>
        <v>0</v>
      </c>
      <c r="BX20" s="42">
        <f>IFERROR(IF(C20="","Cidade não foi inserida",IF(BV20=0,0,VLOOKUP(C20,'BD - Valor Lavanderia Por Item'!A:R,13,FALSE))),"Cidade não encontrada")</f>
        <v>0</v>
      </c>
      <c r="BY20" s="42">
        <f>IFERROR(IF(AND('TaxaLimpeza (Proposta)'!$A20&lt;&gt;"",COUNTIF('Configuração-Imóvel'!$A:$A,$A20)&gt;0),BX20*BW20*BV20,"ID não encontrado"),BX20*(VLOOKUP($BF$2,'BD - Itens x Peso'!$A:$B,2,FALSE)*BV20))</f>
        <v>0</v>
      </c>
      <c r="BZ20" s="44">
        <f>IFERROR(IF(A20="",0,VLOOKUP(A20,'Estoque-Imóvel'!A:AC,24,FALSE)),"ID não encontrado")</f>
        <v>0</v>
      </c>
      <c r="CA20" s="40">
        <f>IF(BZ20=0,0,IF(BZ20="ID não encontrado",0,IFERROR(VLOOKUP($BZ$2,'BD - Itens x Peso'!$A:$B,2,FALSE),"Nome ou Peso não encontrado. Utilizado o peso do Edredom Casal como referência")))</f>
        <v>0</v>
      </c>
      <c r="CB20" s="42">
        <f>IFERROR(IF(C20="","Cidade não foi inserida",IF(BZ20=0,0,VLOOKUP(C20,'BD - Valor Lavanderia Por Item'!A:R,12,FALSE))),"Cidade não encontrada")</f>
        <v>0</v>
      </c>
      <c r="CC20" s="42">
        <f>IFERROR(IF(AND('TaxaLimpeza (Proposta)'!$A20&lt;&gt;"", COUNTIF('Configuração-Imóvel'!$A:$A, $A20)&gt;0), CB20*CA20*BZ20,"ID não encontrado"),VLOOKUP($BN$2,'BD - Itens x Peso'!$A:$B,2,FALSE)*CB20*BZ20)</f>
        <v>0</v>
      </c>
      <c r="CD20" s="44">
        <f>IFERROR(IF(A20="",0,VLOOKUP(A20,'Estoque-Imóvel'!A:AC,25,FALSE)),"ID não encontrado")</f>
        <v>0</v>
      </c>
      <c r="CE20" s="40">
        <f>IF(CD20=0,0,IF(CD20="ID não encontrado",0,IFERROR(VLOOKUP($CD$2,'BD - Itens x Peso'!$A:$B,2,FALSE),"Nome ou Peso não encontrado. Utilizado o Edredom Queen Size como referência")))</f>
        <v>0</v>
      </c>
      <c r="CF20" s="42">
        <f>IFERROR(IF(C20="","Cidade não foi inserida",IF(CD20=0,0,VLOOKUP(C20,'BD - Valor Lavanderia Por Item'!A:R,13,FALSE))),"Cidade não encontrada")</f>
        <v>0</v>
      </c>
      <c r="CG20" s="42">
        <f>IFERROR(IF(AND('TaxaLimpeza (Proposta)'!$A20&lt;&gt;"", COUNTIF('Configuração-Imóvel'!$A:$A, $A20)&gt;0), CF20*CE20*CD20,"ID não encontrado"),VLOOKUP($BF$2,'BD - Itens x Peso'!$A:$B,2,FALSE)*CF20*CD20)</f>
        <v>0</v>
      </c>
      <c r="CH20" s="44">
        <f>IFERROR(IF(A20="",0,VLOOKUP(A20,'Estoque-Imóvel'!A:AC,26,FALSE)),"ID não encontrado")</f>
        <v>0</v>
      </c>
      <c r="CI20" s="40">
        <f>IF(CH20=0,0,IF(CH20="ID não encontrado",0,IFERROR(VLOOKUP($CH$2,'BD - Itens x Peso'!$A:$B,2,FALSE),"Nome ou Peso não encontrado")))</f>
        <v>0</v>
      </c>
      <c r="CJ20" s="42">
        <f>IFERROR(IF(C20="","Cidade não foi inserida",IF(CH20=0,0,VLOOKUP(C20,'BD - Valor Lavanderia Por Item'!A:R,15,FALSE))),"Cidade não encontrada")</f>
        <v>0</v>
      </c>
      <c r="CK20" s="42">
        <f>IFERROR(IF(AND('TaxaLimpeza (Proposta)'!$A20&lt;&gt;"", COUNTIF('Configuração-Imóvel'!$A:$A, $A20)&gt;0), CJ20*CI20*CH20,"ID não encontrado"),Tabela1[[#This Row],[Valor por lavanderia '[R$/Kg']80]])</f>
        <v>0</v>
      </c>
      <c r="CL20" s="44">
        <f>IFERROR(IF(A20="",0,VLOOKUP(A20,'Estoque-Imóvel'!A:AC,27,FALSE)),"ID não encontrado")</f>
        <v>0</v>
      </c>
      <c r="CM20" s="40">
        <f>IF(CL20=0,0,IF(CL20="ID não encontrado",0,IFERROR(VLOOKUP($CL$2,'BD - Itens x Peso'!$A:$B,2,FALSE),"Nome ou Peso não encontrado")))</f>
        <v>0</v>
      </c>
      <c r="CN20" s="42">
        <f>IFERROR(IF(C20="","Cidade não foi inserida",IF(CL20=0,0,VLOOKUP(C20,'BD - Valor Lavanderia Por Item'!A:R,17,FALSE))),"Cidade não encontrada")</f>
        <v>0</v>
      </c>
      <c r="CO20" s="42">
        <f>IFERROR(IF(AND('TaxaLimpeza (Proposta)'!$A20&lt;&gt;"", COUNTIF('Configuração-Imóvel'!$A:$A, $A20)&gt;0), CN20*CM20*CL20,"ID não encontrado"),Tabela1[[#This Row],[Valor por lavanderia '[R$/Kg']84]])</f>
        <v>0</v>
      </c>
      <c r="CP20" s="44">
        <f>IFERROR(IF(A20="",0,VLOOKUP(A20,'Estoque-Imóvel'!A:AC,28,FALSE)),"ID não encontrado")</f>
        <v>0</v>
      </c>
      <c r="CQ20" s="40">
        <f>IF(CP20=0,0,IF(CP20="ID não encontrado",0,IFERROR(VLOOKUP($CP$2,'BD - Itens x Peso'!$A:$B,2,FALSE),"Nome ou Peso não encontrado")))</f>
        <v>0</v>
      </c>
      <c r="CR20" s="42">
        <f>IFERROR(IF(C20="","Cidade não foi inserida",IF(CP20=0,0,VLOOKUP(C20,'BD - Valor Lavanderia Por Item'!A:R,18,FALSE))),"Cidade não encontrada")</f>
        <v>0</v>
      </c>
      <c r="CS20" s="42">
        <f>IFERROR(IF(AND('TaxaLimpeza (Proposta)'!$A20&lt;&gt;"", COUNTIF('Configuração-Imóvel'!$A:$A, $A20)&gt;0), CR20*CQ20*CP20,"ID não encontrado"),Tabela1[[#This Row],[Valor por lavanderia '[R$/Kg']3]])</f>
        <v>0</v>
      </c>
      <c r="CT20" s="44">
        <f>IFERROR(IF(A20="",0,VLOOKUP(A20,'Estoque-Imóvel'!A:AC,29,FALSE)),"ID não encontrado")</f>
        <v>0</v>
      </c>
      <c r="CU20" s="40">
        <f>IF(CT20=0,0,IF(CT20="ID não encontrado",0,IFERROR(VLOOKUP($CT$2,'BD - Itens x Peso'!$A:$B,2,FALSE),"Nome ou Peso não encontrado")))</f>
        <v>0</v>
      </c>
      <c r="CV20" s="42">
        <f>IFERROR(IF(C20="","Cidade não foi inserida",IF(CT20=0,0,VLOOKUP(C20,'BD - Valor Lavanderia Por Item'!A:R,16,FALSE))),"Cidade não encontrada")</f>
        <v>0</v>
      </c>
      <c r="CW20" s="45">
        <f>IFERROR(IF(AND('TaxaLimpeza (Proposta)'!$A20&lt;&gt;"", COUNTIF('Configuração-Imóvel'!$A:$A, $A20)&gt;0), CV20*CU20*CT20,"ID não encontrado"),Tabela1[[#This Row],[Valor por lavanderia '[R$/Kg']2]])</f>
        <v>0</v>
      </c>
      <c r="CX20" s="34">
        <f t="shared" si="1"/>
        <v>0</v>
      </c>
      <c r="CY20" s="68">
        <f>IFERROR(IF(A20="","",(VLOOKUP(A20,'Configuração-Imóvel'!$A$2:$R$21,16,FALSE)+VLOOKUP(A20,'Configuração-Imóvel'!$A$2:$R$21,17,FALSE))*VLOOKUP($CY$3,'BD - Amenities'!$B$2:$E$7,4,FALSE)),"ID não encontrado")</f>
        <v>0.5</v>
      </c>
      <c r="CZ20" s="69">
        <f>IFERROR(IF(A20="","",(VLOOKUP(A20,'Configuração-Imóvel'!$A$2:$R$21,16,FALSE)+VLOOKUP(A20,'Configuração-Imóvel'!$A$2:$R$21,17,FALSE))*VLOOKUP($CZ$3,'BD - Amenities'!$B$2:$E$7,4,FALSE)),"ID não encontrado")</f>
        <v>4</v>
      </c>
      <c r="DA20" s="69">
        <f>IFERROR(IF(A20="","",VLOOKUP(A20,'Configuração-Imóvel'!$A$2:$R$21,16,FALSE)*VLOOKUP($DA$3,'BD - Amenities'!$B$2:$E$7,4,FALSE)),"ID não encontrado")</f>
        <v>1.5</v>
      </c>
      <c r="DB20" s="69">
        <f>IFERROR(IF(A20="","",VLOOKUP(A20,'Configuração-Imóvel'!$A$2:$R$21,16,FALSE)*VLOOKUP($DB$3,'BD - Amenities'!$B$2:$E$7,4,FALSE)),"ID não encontrado")</f>
        <v>1.5</v>
      </c>
      <c r="DC20" s="35">
        <f t="shared" si="2"/>
        <v>7.5</v>
      </c>
      <c r="DD20" s="37">
        <f>IFERROR(IF(A20="","",VLOOKUP($DD$3,'BD - Material de Limpeza'!$A:$D,4,FALSE)),"ID não encontrado")</f>
        <v>2</v>
      </c>
      <c r="DE20" s="38">
        <f>IFERROR(IF(A20="","",VLOOKUP($DE$3,'BD - Material de Limpeza'!$A:$D,4,FALSE)),"ID não encontrado")</f>
        <v>2</v>
      </c>
      <c r="DF20" s="38">
        <f>IFERROR(IF(A20="","",VLOOKUP($DF$3,'BD - Material de Limpeza'!$A:$D,4,FALSE)),"ID não encontrado")</f>
        <v>1</v>
      </c>
      <c r="DG20" s="38">
        <f>IFERROR(IF(A20="","",VLOOKUP($DG$3,'BD - Material de Limpeza'!$A:$D,4,FALSE)),"ID não encontrado")</f>
        <v>1</v>
      </c>
      <c r="DH20" s="38">
        <f>IFERROR(IF(A20="","",VLOOKUP($DH$3,'BD - Material de Limpeza'!$A:$D,4,FALSE)),"ID não encontrado")</f>
        <v>1</v>
      </c>
      <c r="DI20" s="38">
        <f>IFERROR(IF(A20="","",VLOOKUP($DI$3,'BD - Material de Limpeza'!$A:$D,4,FALSE)),"ID não encontrado")</f>
        <v>1</v>
      </c>
      <c r="DJ20" s="38">
        <f>IFERROR(IF(A20="","",VLOOKUP($DJ$3,'BD - Material de Limpeza'!$A:$D,4,FALSE)),"ID não encontrado")</f>
        <v>1</v>
      </c>
      <c r="DK20" s="36">
        <f t="shared" si="0"/>
        <v>9</v>
      </c>
      <c r="DL20" s="72" cm="1">
        <f t="array" ref="DL20">IFERROR(IF('TaxaLimpeza (Proposta)'!$A20="","",INDEX('BD - Valor Limpeza Diarista'!B:B,INDEX('Configuração-Imóvel'!O:O,MATCH(A20,'Configuração-Imóvel'!A:A,0))+1,0)),"ID não encontrado")</f>
        <v>220</v>
      </c>
      <c r="DM20" s="67">
        <f t="shared" si="3"/>
        <v>260.15000000000003</v>
      </c>
      <c r="DN20" s="23" t="s">
        <v>191</v>
      </c>
      <c r="DP20" s="74"/>
    </row>
    <row r="21" spans="1:120" ht="15.75" customHeight="1">
      <c r="A21" s="65" t="s">
        <v>27</v>
      </c>
      <c r="B21" s="32" t="s">
        <v>154</v>
      </c>
      <c r="C21" s="32" t="s">
        <v>95</v>
      </c>
      <c r="D21" s="32" t="s">
        <v>155</v>
      </c>
      <c r="E21" s="33" t="s">
        <v>201</v>
      </c>
      <c r="F21" s="39">
        <f>IFERROR(IF(A21="",0,VLOOKUP(A21,'Estoque-Imóvel'!A:AC,6,FALSE)),"ID não encontrado")</f>
        <v>2</v>
      </c>
      <c r="G21" s="40">
        <f>IF(F21=0,0,IF(F21="ID não encontrado",0,IFERROR(VLOOKUP($F$2,'BD - Itens x Peso'!$A:$B,2,FALSE),"Nome ou Peso não encontrado")))</f>
        <v>0.24</v>
      </c>
      <c r="H21" s="41">
        <f>IFERROR(IF(C21="","Cidade não foi inserida",IF(F21=0,0,VLOOKUP(C21,'BD - Valor Lavanderia Por Item'!A:R,2,FALSE))),"Cidade não encontrada")</f>
        <v>2.7519999999999998</v>
      </c>
      <c r="I21" s="42">
        <f>IFERROR(IF(AND('TaxaLimpeza (Proposta)'!$A21&lt;&gt;"", COUNTIF('Configuração-Imóvel'!$A:$A, $A21)&gt;0), H21*G21*F21,"ID não encontrado"),H21)</f>
        <v>1.3209599999999999</v>
      </c>
      <c r="J21" s="43">
        <f>IFERROR(IF(A21="",0,VLOOKUP(A21,'Estoque-Imóvel'!A:AC,7,FALSE)),"ID não encontrado")</f>
        <v>2</v>
      </c>
      <c r="K21" s="40">
        <f>IF(J21=0,0,IF(J21="ID não encontrado",0,IFERROR(VLOOKUP($J$2,'BD - Itens x Peso'!$A:$B,2,FALSE),"Nome ou Peso não encontrado")))</f>
        <v>0.16</v>
      </c>
      <c r="L21" s="41">
        <f>IFERROR(IF(C21="","Cidade não foi inserida",IF(J21=0,0,VLOOKUP(C21,'BD - Valor Lavanderia Por Item'!A:R,3,FALSE))),"Cidade não encontrada")</f>
        <v>3.5345</v>
      </c>
      <c r="M21" s="41">
        <f>IFERROR(IF(AND('TaxaLimpeza (Proposta)'!$A21&lt;&gt;"", COUNTIF('Configuração-Imóvel'!$A:$A, $A21)&gt;0), L21*K21*J21,"ID não encontrado"),Tabela1[[#This Row],[Valor por lavanderia '[R$/Kg']4]])</f>
        <v>1.13104</v>
      </c>
      <c r="N21" s="44">
        <f>IFERROR(IF(A21="",0,VLOOKUP(A21,'Estoque-Imóvel'!A:AC,8,FALSE)),"ID não encontrado")</f>
        <v>0</v>
      </c>
      <c r="O21" s="40">
        <f>IF(N21=0,0,IF(N21="ID não encontrado",0,IFERROR(VLOOKUP($N$2,'BD - Itens x Peso'!$A:$B,2,FALSE),"Nome ou Peso não encontrado")))</f>
        <v>0</v>
      </c>
      <c r="P21" s="42">
        <f>IFERROR(IF(C21="","Cidade não foi inserida",IF(N21=0,0,VLOOKUP(C21,'BD - Valor Lavanderia Por Item'!A:R,2,FALSE))),"Cidade não encontrada")</f>
        <v>0</v>
      </c>
      <c r="Q21" s="42">
        <f>IFERROR(IF(AND('TaxaLimpeza (Proposta)'!$A21&lt;&gt;"", COUNTIF('Configuração-Imóvel'!$A:$A, $A21)&gt;0), P21*O21*N21,"ID não encontrado"),Tabela1[[#This Row],[Valor por lavanderia '[R$/Kg']8]])</f>
        <v>0</v>
      </c>
      <c r="R21" s="44">
        <f>IFERROR(IF(A21="",0,VLOOKUP(A21,'Estoque-Imóvel'!A:AC,9,FALSE)),"ID não encontrado")</f>
        <v>7</v>
      </c>
      <c r="S21" s="40">
        <f>IF(R21=0,0,IF(R21="ID não encontrado",0,IFERROR(VLOOKUP($R$2,'BD - Itens x Peso'!$A:$B,2,FALSE),"Nome ou Peso não encontrado")))</f>
        <v>0.39</v>
      </c>
      <c r="T21" s="42">
        <f>IFERROR(IF(C21="","Cidade não foi inserida",IF(R21=0,0,VLOOKUP(C21,'BD - Valor Lavanderia Por Item'!A:R,4,FALSE))),"Cidade não encontrada")</f>
        <v>4.7865000000000002</v>
      </c>
      <c r="U21" s="42">
        <f>IFERROR(IF(AND('TaxaLimpeza (Proposta)'!$A21&lt;&gt;"", COUNTIF('Configuração-Imóvel'!$A:$A, $A21)&gt;0), T21*S21*R21,"ID não encontrado"),Tabela1[[#This Row],[Valor por lavanderia '[R$/Kg']12]])</f>
        <v>13.067145</v>
      </c>
      <c r="V21" s="44">
        <f>IFERROR(IF(A21="",0,VLOOKUP(A21,'Estoque-Imóvel'!A:AC,10,FALSE)),"ID não encontrado")</f>
        <v>0</v>
      </c>
      <c r="W21" s="40">
        <f>IF(V21=0,0,IF(V21="ID não encontrado",0,IFERROR(VLOOKUP($V$2,'BD - Itens x Peso'!$A:$B,2,FALSE),"Nome ou Peso não encontrado")))</f>
        <v>0</v>
      </c>
      <c r="X21" s="42">
        <f>IFERROR(IF(C21="","Cidade não foi inserida",IF(V21=0,0,VLOOKUP(C21,'BD - Valor Lavanderia Por Item'!A:R,3,FALSE))),"Cidade não encontrada")</f>
        <v>0</v>
      </c>
      <c r="Y21" s="42">
        <f>IFERROR(IF(AND('TaxaLimpeza (Proposta)'!$A21&lt;&gt;"", COUNTIF('Configuração-Imóvel'!$A:$A, $A21)&gt;0), X21*W21*V21,"ID não encontrado"),Tabela1[[#This Row],[Valor por lavanderia '[R$/Kg']16]])</f>
        <v>0</v>
      </c>
      <c r="Z21" s="44">
        <f>IFERROR(IF(A21="",0,VLOOKUP(A21,'Estoque-Imóvel'!A:AC,11,FALSE)),"ID não encontrado")</f>
        <v>0</v>
      </c>
      <c r="AA21" s="40">
        <f>IF(Z21=0,0,IF(Z21="ID não encontrado",0,IFERROR(VLOOKUP($Z$2,'BD - Itens x Peso'!$A:$B,2,FALSE),"Nome ou Peso não encontrado")))</f>
        <v>0</v>
      </c>
      <c r="AB21" s="42">
        <f>IFERROR(IF(C21="","Cidade não foi inserida",IF(Z21=0,0,VLOOKUP(C21,'BD - Valor Lavanderia Por Item'!A:R,3,FALSE))),"Cidade não encontrada")</f>
        <v>0</v>
      </c>
      <c r="AC21" s="42">
        <f>IFERROR(IF(AND('TaxaLimpeza (Proposta)'!$A21&lt;&gt;"", COUNTIF('Configuração-Imóvel'!$A:$A, $A21)&gt;0), AB21*AA21*Z21,"ID não encontrado"),Tabela1[[#This Row],[Valor por lavanderia '[R$/Kg']20]])</f>
        <v>0</v>
      </c>
      <c r="AD21" s="44">
        <f>IFERROR(IF(A21="",0,VLOOKUP(A21,'Estoque-Imóvel'!A:AC,12,FALSE)),"ID não encontrado")</f>
        <v>5</v>
      </c>
      <c r="AE21" s="40">
        <f>IF(AD21=0,0,IF(AD21="ID não encontrado",0,IFERROR(VLOOKUP($AD$2,'BD - Itens x Peso'!$A:$B,2,FALSE),"Nome ou Peso não encontrado")))</f>
        <v>1.01</v>
      </c>
      <c r="AF21" s="42">
        <f>IFERROR(IF(C21="","Cidade não foi inserida",IF(AD21=0,0,VLOOKUP(C21,'BD - Valor Lavanderia Por Item'!A:R,9,FALSE))),"Cidade não encontrada")</f>
        <v>9.3249999999999993</v>
      </c>
      <c r="AG21" s="42">
        <f>IFERROR(IF(AND('TaxaLimpeza (Proposta)'!$A21&lt;&gt;"", COUNTIF('Configuração-Imóvel'!$A:$A, $A21)&gt;0), AF21*AE21*AD21,"ID não encontrado"),Tabela1[[#This Row],[Valor por lavanderia '[R$/Kg']24]])</f>
        <v>47.091249999999995</v>
      </c>
      <c r="AH21" s="44">
        <f>IFERROR(IF(A21="",0,VLOOKUP(A21,'Estoque-Imóvel'!A:AC,13,FALSE)),"ID não encontrado")</f>
        <v>10</v>
      </c>
      <c r="AI21" s="40">
        <f>IF(AH21=0,0,IF(AH21="ID não encontrado",0,IFERROR(VLOOKUP($AH$2,'BD - Itens x Peso'!$A:$B,2,FALSE),"Nome ou Peso não encontrado")))</f>
        <v>0.3</v>
      </c>
      <c r="AJ21" s="42">
        <f>IFERROR(IF(C21="","Cidade não foi inserida",IF(AH21=0,0,VLOOKUP(C21,'BD - Valor Lavanderia Por Item'!A:R,6,FALSE))),"Cidade não encontrada")</f>
        <v>6.1950000000000003</v>
      </c>
      <c r="AK21" s="42">
        <f>IFERROR(IF(AND('TaxaLimpeza (Proposta)'!$A21&lt;&gt;"", COUNTIF('Configuração-Imóvel'!$A:$A, $A21)&gt;0), AJ21*AI21*AH21,"ID não encontrado"),Tabela1[[#This Row],[Valor por lavanderia '[R$/Kg']28]])</f>
        <v>18.585000000000001</v>
      </c>
      <c r="AL21" s="44">
        <f>IFERROR(IF(A21="",0,VLOOKUP(A21,'Estoque-Imóvel'!A:AC,14,FALSE)),"ID não encontrado")</f>
        <v>0</v>
      </c>
      <c r="AM21" s="40">
        <f>IF(AL21=0,0,IF(AL21="ID não encontrado",0,IFERROR(VLOOKUP($AL$2,'BD - Itens x Peso'!$A:$B,2,FALSE),"Nome ou Peso não encontrado")))</f>
        <v>0</v>
      </c>
      <c r="AN21" s="42">
        <f>IFERROR(IF(C21="","Cidade não foi inserida",IF(AL21=0,0,VLOOKUP(C21,'BD - Valor Lavanderia Por Item'!A:R,8,FALSE))),"Cidade não encontrada")</f>
        <v>0</v>
      </c>
      <c r="AO21" s="42">
        <f>IFERROR(IF(AND('TaxaLimpeza (Proposta)'!$A21&lt;&gt;"", COUNTIF('Configuração-Imóvel'!$A:$A, $A21)&gt;0), AN21*AM21*AL21,"ID não encontrado"),Tabela1[[#This Row],[Valor por lavanderia '[R$/Kg']32]])</f>
        <v>0</v>
      </c>
      <c r="AP21" s="44">
        <f>IFERROR(IF(A21="",0,VLOOKUP(A21,'Estoque-Imóvel'!A:AC,15,FALSE)),"ID não encontrado")</f>
        <v>0</v>
      </c>
      <c r="AQ21" s="40">
        <f>IF(AP21=0,0,IF(AP21="ID não encontrado",0,IFERROR(VLOOKUP($AP$2,'BD - Itens x Peso'!$A:$B,2,FALSE),"Nome ou Peso não encontrado")))</f>
        <v>0</v>
      </c>
      <c r="AR21" s="42">
        <f>IFERROR(IF(C21="","Cidade não foi inserida",IF(AP21=0,0,VLOOKUP(C21,'BD - Valor Lavanderia Por Item'!A:R,8,FALSE))),"Cidade não encontrada")</f>
        <v>0</v>
      </c>
      <c r="AS21" s="42">
        <f>IFERROR(IF(AND('TaxaLimpeza (Proposta)'!$A21&lt;&gt;"", COUNTIF('Configuração-Imóvel'!$A:$A, $A21)&gt;0), AR21*AQ21*AP21,"ID não encontrado"),Tabela1[[#This Row],[Valor por lavanderia '[R$/Kg']36]])</f>
        <v>0</v>
      </c>
      <c r="AT21" s="44">
        <f>IFERROR(IF(A21="",0,VLOOKUP(A21,'Estoque-Imóvel'!A:AC,16,FALSE)),"ID não encontrado")</f>
        <v>2</v>
      </c>
      <c r="AU21" s="40">
        <f>IF(AT21=0,0,IF(AT21="ID não encontrado",0,IFERROR(VLOOKUP($AT$2,'BD - Itens x Peso'!$A:$B,2,FALSE),"Nome ou Peso não encontrado")))</f>
        <v>0.3</v>
      </c>
      <c r="AV21" s="42">
        <f>IFERROR(IF(C21="","Cidade não foi inserida",IF(AT21=0,0,VLOOKUP(C21,'BD - Valor Lavanderia Por Item'!A:R,7,FALSE))),"Cidade não encontrada")</f>
        <v>6.9774999999999991</v>
      </c>
      <c r="AW21" s="42">
        <f>IFERROR(IF(AND('TaxaLimpeza (Proposta)'!$A21&lt;&gt;"", COUNTIF('Configuração-Imóvel'!$A:$A, $A21)&gt;0), AV21*AU21*AT21,"ID não encontrado"),Tabela1[[#This Row],[Valor por lavanderia '[R$/Kg']40]])</f>
        <v>4.1864999999999997</v>
      </c>
      <c r="AX21" s="44">
        <f>IFERROR(IF(A21="",0,VLOOKUP(A21,'Estoque-Imóvel'!A:AC,17,FALSE)),"Code não encontrado")</f>
        <v>7</v>
      </c>
      <c r="AY21" s="40">
        <f>IF(AX21=0,0,IF(AX21="ID não encontrado",0,IFERROR(VLOOKUP($AX$2,'BD - Itens x Peso'!$A:$B,2,FALSE),"Nome ou Peso não encontrado")))</f>
        <v>0.19</v>
      </c>
      <c r="AZ21" s="42">
        <f>IFERROR(IF(C21="","Cidade não foi inserida",IF(AX21=0,0,VLOOKUP(C21,'BD - Valor Lavanderia Por Item'!A:R,5,FALSE))),"Cidade não encontrada")</f>
        <v>3.0649999999999999</v>
      </c>
      <c r="BA21" s="42">
        <f>IFERROR(IF(AND('TaxaLimpeza (Proposta)'!$A21&lt;&gt;"", COUNTIF('Configuração-Imóvel'!$A:$A, $A21)&gt;0), AZ21*AY21*AX21,"ID não encontrado"),Tabela1[[#This Row],[Valor por lavanderia '[R$/Kg']44]])</f>
        <v>4.0764500000000004</v>
      </c>
      <c r="BB21" s="44">
        <f>IFERROR(IF(A21="",0,VLOOKUP(A21,'Estoque-Imóvel'!A:AC,18,FALSE)),"ID não encontrado")</f>
        <v>0</v>
      </c>
      <c r="BC21" s="40">
        <f>IF(BB21=0,0,IF(BB21="ID não encontrado",0,IFERROR(VLOOKUP($BB$2,'BD - Itens x Peso'!$A:$B,2,FALSE),"Nome ou Peso não encontrado")))</f>
        <v>0</v>
      </c>
      <c r="BD21" s="42">
        <f>IFERROR(IF(C21="","Cidade não foi inserida",IF(BB21=0,0,VLOOKUP(C21,'BD - Valor Lavanderia Por Item'!A:R,11,FALSE))),"Cidade não encontrada")</f>
        <v>0</v>
      </c>
      <c r="BE21" s="42">
        <f>IFERROR(IF(AND('TaxaLimpeza (Proposta)'!$A21&lt;&gt;"", COUNTIF('Configuração-Imóvel'!$A:$A, $A21)&gt;0), BD21*BC21*BB21,"ID não encontrado"),Tabela1[[#This Row],[Valor por lavanderia '[R$/Kg']48]])</f>
        <v>0</v>
      </c>
      <c r="BF21" s="44">
        <f>IFERROR(IF(A21="",0,VLOOKUP(A21,'Estoque-Imóvel'!A:AC,19,FALSE)),"ID não encontrado")</f>
        <v>0</v>
      </c>
      <c r="BG21" s="40">
        <f>IF(BF21=0,0,IF(BF21="ID não encontrado",0,IFERROR(VLOOKUP($BF$2,'BD - Itens x Peso'!$A:$B,2,FALSE),"Nome ou Peso não encontrado")))</f>
        <v>0</v>
      </c>
      <c r="BH21" s="42">
        <f>IFERROR(IF(C21="","Cidade não foi inserida",IF(BF21=0,0,VLOOKUP(C21,'BD - Valor Lavanderia Por Item'!A:R,13,FALSE))),"Cidade não encontrada")</f>
        <v>0</v>
      </c>
      <c r="BI21" s="42">
        <f>IFERROR(IF(AND('TaxaLimpeza (Proposta)'!$A21&lt;&gt;"", COUNTIF('Configuração-Imóvel'!$A:$A, $A21)&gt;0), BH21*BG21*BF21,"ID não encontrado"),Tabela1[[#This Row],[Valor por lavanderia '[R$/Kg']52]])</f>
        <v>0</v>
      </c>
      <c r="BJ21" s="44">
        <f>IFERROR(IF(A21="",0,VLOOKUP(A21,'Estoque-Imóvel'!A:AC,20,FALSE)),"ID não encontrado")</f>
        <v>0</v>
      </c>
      <c r="BK21" s="40">
        <f>IF(BJ21=0,0,IF(BJ21="ID não encontrado",0,IFERROR(VLOOKUP($BJ$2,'BD - Itens x Peso'!$A:$B,2,FALSE),"Nome ou Peso não encontrado")))</f>
        <v>0</v>
      </c>
      <c r="BL21" s="42">
        <f>IFERROR(IF(C21="","Cidade não foi inserida",IF(BJ21=0,0,VLOOKUP(C21,'BD - Valor Lavanderia Por Item'!A:R,13,FALSE))),"Cidade não encontrada")</f>
        <v>0</v>
      </c>
      <c r="BM21" s="42">
        <f>IFERROR(IF(AND('TaxaLimpeza (Proposta)'!$A21&lt;&gt;"", COUNTIF('Configuração-Imóvel'!$A:$A, $A21)&gt;0), BL21*BK21*BJ21,"ID não encontrado"),Tabela1[[#This Row],[Valor por lavanderia '[R$/Kg']56]])</f>
        <v>0</v>
      </c>
      <c r="BN21" s="44">
        <f>IFERROR(IF(A21="",0,VLOOKUP(A21,'Estoque-Imóvel'!A:AC,21,FALSE)),"ID não encontrado")</f>
        <v>1</v>
      </c>
      <c r="BO21" s="40">
        <f>IF(BN21=0,0,IF(BN21="ID não encontrado",0,IFERROR(VLOOKUP($BN$2,'BD - Itens x Peso'!$A:$B,2,FALSE),"Nome ou Peso não encontrado")))</f>
        <v>1.1100000000000001</v>
      </c>
      <c r="BP21" s="42">
        <f>IFERROR(IF(C21="","Cidade não foi inserida",IF(BN21=0,0,VLOOKUP(C21,'BD - Valor Lavanderia Por Item'!A:R,13,FALSE))),"Cidade não encontrada")</f>
        <v>41.7575</v>
      </c>
      <c r="BQ21" s="42">
        <f>IFERROR(IF(AND('TaxaLimpeza (Proposta)'!$A21&lt;&gt;"", COUNTIF('Configuração-Imóvel'!$A:$A, $A21)&gt;0), BP21*BO21*BN21,"ID não encontrado"),Tabela1[[#This Row],[Valor por lavanderia '[R$/Kg']60]])</f>
        <v>46.350825000000007</v>
      </c>
      <c r="BR21" s="44">
        <f>IFERROR(IF(A21="",0,VLOOKUP(A21,'Estoque-Imóvel'!A:AC,22,FALSE)),"ID não encontrado")</f>
        <v>0</v>
      </c>
      <c r="BS21" s="40">
        <f>IF(BR21=0,0,IF(BR21="ID não encontrado",0,IFERROR(VLOOKUP($BR$2,'BD - Itens x Peso'!$A:$B,2,FALSE),"Nome ou Peso não encontrado. Utilizado o Edredom Solteiro como referência")))</f>
        <v>0</v>
      </c>
      <c r="BT21" s="42">
        <f>IFERROR(IF(C21="","Cidade não foi inserida",IF(BR21=0,0,VLOOKUP(C21,'BD - Valor Lavanderia Por Item'!A:R,11,FALSE))),"Cidade não encontrada")</f>
        <v>0</v>
      </c>
      <c r="BU21" s="42">
        <f>IFERROR(IF(AND('TaxaLimpeza (Proposta)'!$A21&lt;&gt;"", COUNTIF('Configuração-Imóvel'!$A:$A, $A21)&gt;0), BT21*BS21*BR21,"ID não encontrado"),BT21*VLOOKUP($BB$2,'BD - Itens x Peso'!$A:$B,2,FALSE)*BR21)</f>
        <v>0</v>
      </c>
      <c r="BV21" s="44">
        <f>IFERROR(IF(A21="",0,VLOOKUP(A21,'Estoque-Imóvel'!A:AC,23,FALSE)),"ID não encontrado")</f>
        <v>0</v>
      </c>
      <c r="BW21" s="40">
        <f>IF(BV21=0,0,IF(BV21="ID não encontrado",0,IFERROR(VLOOKUP($BV$2,'BD - Itens x Peso'!$A:$B,2,FALSE),"Nome ou Peso não encontrado. Utilizado o Edredom Queen Size como referência")))</f>
        <v>0</v>
      </c>
      <c r="BX21" s="42">
        <f>IFERROR(IF(C21="","Cidade não foi inserida",IF(BV21=0,0,VLOOKUP(C21,'BD - Valor Lavanderia Por Item'!A:R,13,FALSE))),"Cidade não encontrada")</f>
        <v>0</v>
      </c>
      <c r="BY21" s="42">
        <f>IFERROR(IF(AND('TaxaLimpeza (Proposta)'!$A21&lt;&gt;"",COUNTIF('Configuração-Imóvel'!$A:$A,$A21)&gt;0),BX21*BW21*BV21,"ID não encontrado"),BX21*(VLOOKUP($BF$2,'BD - Itens x Peso'!$A:$B,2,FALSE)*BV21))</f>
        <v>0</v>
      </c>
      <c r="BZ21" s="44">
        <f>IFERROR(IF(A21="",0,VLOOKUP(A21,'Estoque-Imóvel'!A:AC,24,FALSE)),"ID não encontrado")</f>
        <v>0</v>
      </c>
      <c r="CA21" s="40">
        <f>IF(BZ21=0,0,IF(BZ21="ID não encontrado",0,IFERROR(VLOOKUP($BZ$2,'BD - Itens x Peso'!$A:$B,2,FALSE),"Nome ou Peso não encontrado. Utilizado o peso do Edredom Casal como referência")))</f>
        <v>0</v>
      </c>
      <c r="CB21" s="42">
        <f>IFERROR(IF(C21="","Cidade não foi inserida",IF(BZ21=0,0,VLOOKUP(C21,'BD - Valor Lavanderia Por Item'!A:R,12,FALSE))),"Cidade não encontrada")</f>
        <v>0</v>
      </c>
      <c r="CC21" s="42">
        <f>IFERROR(IF(AND('TaxaLimpeza (Proposta)'!$A21&lt;&gt;"", COUNTIF('Configuração-Imóvel'!$A:$A, $A21)&gt;0), CB21*CA21*BZ21,"ID não encontrado"),VLOOKUP($BN$2,'BD - Itens x Peso'!$A:$B,2,FALSE)*CB21*BZ21)</f>
        <v>0</v>
      </c>
      <c r="CD21" s="44">
        <f>IFERROR(IF(A21="",0,VLOOKUP(A21,'Estoque-Imóvel'!A:AC,25,FALSE)),"ID não encontrado")</f>
        <v>0</v>
      </c>
      <c r="CE21" s="40">
        <f>IF(CD21=0,0,IF(CD21="ID não encontrado",0,IFERROR(VLOOKUP($CD$2,'BD - Itens x Peso'!$A:$B,2,FALSE),"Nome ou Peso não encontrado. Utilizado o Edredom Queen Size como referência")))</f>
        <v>0</v>
      </c>
      <c r="CF21" s="42">
        <f>IFERROR(IF(C21="","Cidade não foi inserida",IF(CD21=0,0,VLOOKUP(C21,'BD - Valor Lavanderia Por Item'!A:R,13,FALSE))),"Cidade não encontrada")</f>
        <v>0</v>
      </c>
      <c r="CG21" s="42">
        <f>IFERROR(IF(AND('TaxaLimpeza (Proposta)'!$A21&lt;&gt;"", COUNTIF('Configuração-Imóvel'!$A:$A, $A21)&gt;0), CF21*CE21*CD21,"ID não encontrado"),VLOOKUP($BF$2,'BD - Itens x Peso'!$A:$B,2,FALSE)*CF21*CD21)</f>
        <v>0</v>
      </c>
      <c r="CH21" s="44">
        <f>IFERROR(IF(A21="",0,VLOOKUP(A21,'Estoque-Imóvel'!A:AC,26,FALSE)),"ID não encontrado")</f>
        <v>0</v>
      </c>
      <c r="CI21" s="40">
        <f>IF(CH21=0,0,IF(CH21="ID não encontrado",0,IFERROR(VLOOKUP($CH$2,'BD - Itens x Peso'!$A:$B,2,FALSE),"Nome ou Peso não encontrado")))</f>
        <v>0</v>
      </c>
      <c r="CJ21" s="42">
        <f>IFERROR(IF(C21="","Cidade não foi inserida",IF(CH21=0,0,VLOOKUP(C21,'BD - Valor Lavanderia Por Item'!A:R,15,FALSE))),"Cidade não encontrada")</f>
        <v>0</v>
      </c>
      <c r="CK21" s="42">
        <f>IFERROR(IF(AND('TaxaLimpeza (Proposta)'!$A21&lt;&gt;"", COUNTIF('Configuração-Imóvel'!$A:$A, $A21)&gt;0), CJ21*CI21*CH21,"ID não encontrado"),Tabela1[[#This Row],[Valor por lavanderia '[R$/Kg']80]])</f>
        <v>0</v>
      </c>
      <c r="CL21" s="44">
        <f>IFERROR(IF(A21="",0,VLOOKUP(A21,'Estoque-Imóvel'!A:AC,27,FALSE)),"ID não encontrado")</f>
        <v>0</v>
      </c>
      <c r="CM21" s="40">
        <f>IF(CL21=0,0,IF(CL21="ID não encontrado",0,IFERROR(VLOOKUP($CL$2,'BD - Itens x Peso'!$A:$B,2,FALSE),"Nome ou Peso não encontrado")))</f>
        <v>0</v>
      </c>
      <c r="CN21" s="42">
        <f>IFERROR(IF(C21="","Cidade não foi inserida",IF(CL21=0,0,VLOOKUP(C21,'BD - Valor Lavanderia Por Item'!A:R,17,FALSE))),"Cidade não encontrada")</f>
        <v>0</v>
      </c>
      <c r="CO21" s="42">
        <f>IFERROR(IF(AND('TaxaLimpeza (Proposta)'!$A21&lt;&gt;"", COUNTIF('Configuração-Imóvel'!$A:$A, $A21)&gt;0), CN21*CM21*CL21,"ID não encontrado"),Tabela1[[#This Row],[Valor por lavanderia '[R$/Kg']84]])</f>
        <v>0</v>
      </c>
      <c r="CP21" s="44">
        <f>IFERROR(IF(A21="",0,VLOOKUP(A21,'Estoque-Imóvel'!A:AC,28,FALSE)),"ID não encontrado")</f>
        <v>0</v>
      </c>
      <c r="CQ21" s="40">
        <f>IF(CP21=0,0,IF(CP21="ID não encontrado",0,IFERROR(VLOOKUP($CP$2,'BD - Itens x Peso'!$A:$B,2,FALSE),"Nome ou Peso não encontrado")))</f>
        <v>0</v>
      </c>
      <c r="CR21" s="42">
        <f>IFERROR(IF(C21="","Cidade não foi inserida",IF(CP21=0,0,VLOOKUP(C21,'BD - Valor Lavanderia Por Item'!A:R,18,FALSE))),"Cidade não encontrada")</f>
        <v>0</v>
      </c>
      <c r="CS21" s="42">
        <f>IFERROR(IF(AND('TaxaLimpeza (Proposta)'!$A21&lt;&gt;"", COUNTIF('Configuração-Imóvel'!$A:$A, $A21)&gt;0), CR21*CQ21*CP21,"ID não encontrado"),Tabela1[[#This Row],[Valor por lavanderia '[R$/Kg']3]])</f>
        <v>0</v>
      </c>
      <c r="CT21" s="44">
        <f>IFERROR(IF(A21="",0,VLOOKUP(A21,'Estoque-Imóvel'!A:AC,29,FALSE)),"ID não encontrado")</f>
        <v>1</v>
      </c>
      <c r="CU21" s="40">
        <f>IF(CT21=0,0,IF(CT21="ID não encontrado",0,IFERROR(VLOOKUP($CT$2,'BD - Itens x Peso'!$A:$B,2,FALSE),"Nome ou Peso não encontrado")))</f>
        <v>1.56</v>
      </c>
      <c r="CV21" s="42">
        <f>IFERROR(IF(C21="","Cidade não foi inserida",IF(CT21=0,0,VLOOKUP(C21,'BD - Valor Lavanderia Por Item'!A:R,16,FALSE))),"Cidade não encontrada")</f>
        <v>16.457000000000001</v>
      </c>
      <c r="CW21" s="45">
        <f>IFERROR(IF(AND('TaxaLimpeza (Proposta)'!$A21&lt;&gt;"", COUNTIF('Configuração-Imóvel'!$A:$A, $A21)&gt;0), CV21*CU21*CT21,"ID não encontrado"),Tabela1[[#This Row],[Valor por lavanderia '[R$/Kg']2]])</f>
        <v>25.672920000000001</v>
      </c>
      <c r="CX21" s="34">
        <f t="shared" si="1"/>
        <v>161.48209</v>
      </c>
      <c r="CY21" s="68">
        <f>IFERROR(IF(A21="","",(VLOOKUP(A21,'Configuração-Imóvel'!$A$2:$R$21,16,FALSE)+VLOOKUP(A21,'Configuração-Imóvel'!$A$2:$R$21,17,FALSE))*VLOOKUP($CY$3,'BD - Amenities'!$B$2:$E$7,4,FALSE)),"ID não encontrado")</f>
        <v>0.5</v>
      </c>
      <c r="CZ21" s="69">
        <f>IFERROR(IF(A21="","",(VLOOKUP(A21,'Configuração-Imóvel'!$A$2:$R$21,16,FALSE)+VLOOKUP(A21,'Configuração-Imóvel'!$A$2:$R$21,17,FALSE))*VLOOKUP($CZ$3,'BD - Amenities'!$B$2:$E$7,4,FALSE)),"ID não encontrado")</f>
        <v>4</v>
      </c>
      <c r="DA21" s="69">
        <f>IFERROR(IF(A21="","",VLOOKUP(A21,'Configuração-Imóvel'!$A$2:$R$21,16,FALSE)*VLOOKUP($DA$3,'BD - Amenities'!$B$2:$E$7,4,FALSE)),"ID não encontrado")</f>
        <v>1.5</v>
      </c>
      <c r="DB21" s="69">
        <f>IFERROR(IF(A21="","",VLOOKUP(A21,'Configuração-Imóvel'!$A$2:$R$21,16,FALSE)*VLOOKUP($DB$3,'BD - Amenities'!$B$2:$E$7,4,FALSE)),"ID não encontrado")</f>
        <v>1.5</v>
      </c>
      <c r="DC21" s="35">
        <f t="shared" si="2"/>
        <v>7.5</v>
      </c>
      <c r="DD21" s="37">
        <f>IFERROR(IF(A21="","",VLOOKUP($DD$3,'BD - Material de Limpeza'!$A:$D,4,FALSE)),"ID não encontrado")</f>
        <v>2</v>
      </c>
      <c r="DE21" s="38">
        <f>IFERROR(IF(A21="","",VLOOKUP($DE$3,'BD - Material de Limpeza'!$A:$D,4,FALSE)),"ID não encontrado")</f>
        <v>2</v>
      </c>
      <c r="DF21" s="38">
        <f>IFERROR(IF(A21="","",VLOOKUP($DF$3,'BD - Material de Limpeza'!$A:$D,4,FALSE)),"ID não encontrado")</f>
        <v>1</v>
      </c>
      <c r="DG21" s="38">
        <f>IFERROR(IF(A21="","",VLOOKUP($DG$3,'BD - Material de Limpeza'!$A:$D,4,FALSE)),"ID não encontrado")</f>
        <v>1</v>
      </c>
      <c r="DH21" s="38">
        <f>IFERROR(IF(A21="","",VLOOKUP($DH$3,'BD - Material de Limpeza'!$A:$D,4,FALSE)),"ID não encontrado")</f>
        <v>1</v>
      </c>
      <c r="DI21" s="38">
        <f>IFERROR(IF(A21="","",VLOOKUP($DI$3,'BD - Material de Limpeza'!$A:$D,4,FALSE)),"ID não encontrado")</f>
        <v>1</v>
      </c>
      <c r="DJ21" s="38">
        <f>IFERROR(IF(A21="","",VLOOKUP($DJ$3,'BD - Material de Limpeza'!$A:$D,4,FALSE)),"ID não encontrado")</f>
        <v>1</v>
      </c>
      <c r="DK21" s="36">
        <f t="shared" si="0"/>
        <v>9</v>
      </c>
      <c r="DL21" s="72" cm="1">
        <f t="array" ref="DL21">IFERROR(IF('TaxaLimpeza (Proposta)'!$A21="","",INDEX('BD - Valor Limpeza Diarista'!B:B,INDEX('Configuração-Imóvel'!O:O,MATCH(A21,'Configuração-Imóvel'!A:A,0))+1,0)),"ID não encontrado")</f>
        <v>220</v>
      </c>
      <c r="DM21" s="67">
        <f t="shared" si="3"/>
        <v>437.78029900000001</v>
      </c>
      <c r="DN21" s="23" t="s">
        <v>192</v>
      </c>
      <c r="DP21" s="74"/>
    </row>
    <row r="22" spans="1:120" s="26" customFormat="1" ht="15.75" customHeight="1">
      <c r="A22" s="65" t="s">
        <v>28</v>
      </c>
      <c r="B22" s="32" t="s">
        <v>154</v>
      </c>
      <c r="C22" s="32" t="s">
        <v>95</v>
      </c>
      <c r="D22" s="32" t="s">
        <v>155</v>
      </c>
      <c r="E22" s="33" t="s">
        <v>201</v>
      </c>
      <c r="F22" s="39">
        <f>IFERROR(IF(A22="",0,VLOOKUP(A22,'Estoque-Imóvel'!A:AC,6,FALSE)),"ID não encontrado")</f>
        <v>2</v>
      </c>
      <c r="G22" s="40">
        <f>IF(F22=0,0,IF(F22="ID não encontrado",0,IFERROR(VLOOKUP($F$2,'BD - Itens x Peso'!$A:$B,2,FALSE),"Nome ou Peso não encontrado")))</f>
        <v>0.24</v>
      </c>
      <c r="H22" s="41">
        <f>IFERROR(IF(C22="","Cidade não foi inserida",IF(F22=0,0,VLOOKUP(C22,'BD - Valor Lavanderia Por Item'!A:R,2,FALSE))),"Cidade não encontrada")</f>
        <v>2.7519999999999998</v>
      </c>
      <c r="I22" s="42">
        <f>IFERROR(IF(AND('TaxaLimpeza (Proposta)'!$A22&lt;&gt;"", COUNTIF('Configuração-Imóvel'!$A:$A, $A22)&gt;0), H22*G22*F22,"ID não encontrado"),H22)</f>
        <v>1.3209599999999999</v>
      </c>
      <c r="J22" s="43">
        <f>IFERROR(IF(A22="",0,VLOOKUP(A22,'Estoque-Imóvel'!A:AC,7,FALSE)),"ID não encontrado")</f>
        <v>2</v>
      </c>
      <c r="K22" s="40">
        <f>IF(J22=0,0,IF(J22="ID não encontrado",0,IFERROR(VLOOKUP($J$2,'BD - Itens x Peso'!$A:$B,2,FALSE),"Nome ou Peso não encontrado")))</f>
        <v>0.16</v>
      </c>
      <c r="L22" s="41">
        <f>IFERROR(IF(C22="","Cidade não foi inserida",IF(J22=0,0,VLOOKUP(C22,'BD - Valor Lavanderia Por Item'!A:R,3,FALSE))),"Cidade não encontrada")</f>
        <v>3.5345</v>
      </c>
      <c r="M22" s="41">
        <f>IFERROR(IF(AND('TaxaLimpeza (Proposta)'!$A22&lt;&gt;"", COUNTIF('Configuração-Imóvel'!$A:$A, $A22)&gt;0), L22*K22*J22,"ID não encontrado"),Tabela1[[#This Row],[Valor por lavanderia '[R$/Kg']4]])</f>
        <v>1.13104</v>
      </c>
      <c r="N22" s="44">
        <f>IFERROR(IF(A22="",0,VLOOKUP(A22,'Estoque-Imóvel'!A:AC,8,FALSE)),"ID não encontrado")</f>
        <v>0</v>
      </c>
      <c r="O22" s="40">
        <f>IF(N22=0,0,IF(N22="ID não encontrado",0,IFERROR(VLOOKUP($N$2,'BD - Itens x Peso'!$A:$B,2,FALSE),"Nome ou Peso não encontrado")))</f>
        <v>0</v>
      </c>
      <c r="P22" s="42">
        <f>IFERROR(IF(C22="","Cidade não foi inserida",IF(N22=0,0,VLOOKUP(C22,'BD - Valor Lavanderia Por Item'!A:R,2,FALSE))),"Cidade não encontrada")</f>
        <v>0</v>
      </c>
      <c r="Q22" s="42">
        <f>IFERROR(IF(AND('TaxaLimpeza (Proposta)'!$A22&lt;&gt;"", COUNTIF('Configuração-Imóvel'!$A:$A, $A22)&gt;0), P22*O22*N22,"ID não encontrado"),Tabela1[[#This Row],[Valor por lavanderia '[R$/Kg']8]])</f>
        <v>0</v>
      </c>
      <c r="R22" s="44">
        <f>IFERROR(IF(A22="",0,VLOOKUP(A22,'Estoque-Imóvel'!A:AC,9,FALSE)),"ID não encontrado")</f>
        <v>6</v>
      </c>
      <c r="S22" s="40">
        <f>IF(R22=0,0,IF(R22="ID não encontrado",0,IFERROR(VLOOKUP($R$2,'BD - Itens x Peso'!$A:$B,2,FALSE),"Nome ou Peso não encontrado")))</f>
        <v>0.39</v>
      </c>
      <c r="T22" s="42">
        <f>IFERROR(IF(C22="","Cidade não foi inserida",IF(R22=0,0,VLOOKUP(C22,'BD - Valor Lavanderia Por Item'!A:R,4,FALSE))),"Cidade não encontrada")</f>
        <v>4.7865000000000002</v>
      </c>
      <c r="U22" s="42">
        <f>IFERROR(IF(AND('TaxaLimpeza (Proposta)'!$A22&lt;&gt;"", COUNTIF('Configuração-Imóvel'!$A:$A, $A22)&gt;0), T22*S22*R22,"ID não encontrado"),Tabela1[[#This Row],[Valor por lavanderia '[R$/Kg']12]])</f>
        <v>11.20041</v>
      </c>
      <c r="V22" s="44">
        <f>IFERROR(IF(A22="",0,VLOOKUP(A22,'Estoque-Imóvel'!A:AC,10,FALSE)),"ID não encontrado")</f>
        <v>0</v>
      </c>
      <c r="W22" s="40">
        <f>IF(V22=0,0,IF(V22="ID não encontrado",0,IFERROR(VLOOKUP($V$2,'BD - Itens x Peso'!$A:$B,2,FALSE),"Nome ou Peso não encontrado")))</f>
        <v>0</v>
      </c>
      <c r="X22" s="42">
        <f>IFERROR(IF(C22="","Cidade não foi inserida",IF(V22=0,0,VLOOKUP(C22,'BD - Valor Lavanderia Por Item'!A:R,3,FALSE))),"Cidade não encontrada")</f>
        <v>0</v>
      </c>
      <c r="Y22" s="42">
        <f>IFERROR(IF(AND('TaxaLimpeza (Proposta)'!$A22&lt;&gt;"", COUNTIF('Configuração-Imóvel'!$A:$A, $A22)&gt;0), X22*W22*V22,"ID não encontrado"),Tabela1[[#This Row],[Valor por lavanderia '[R$/Kg']16]])</f>
        <v>0</v>
      </c>
      <c r="Z22" s="44">
        <f>IFERROR(IF(A22="",0,VLOOKUP(A22,'Estoque-Imóvel'!A:AC,11,FALSE)),"ID não encontrado")</f>
        <v>0</v>
      </c>
      <c r="AA22" s="40">
        <f>IF(Z22=0,0,IF(Z22="ID não encontrado",0,IFERROR(VLOOKUP($Z$2,'BD - Itens x Peso'!$A:$B,2,FALSE),"Nome ou Peso não encontrado")))</f>
        <v>0</v>
      </c>
      <c r="AB22" s="42">
        <f>IFERROR(IF(C22="","Cidade não foi inserida",IF(Z22=0,0,VLOOKUP(C22,'BD - Valor Lavanderia Por Item'!A:R,3,FALSE))),"Cidade não encontrada")</f>
        <v>0</v>
      </c>
      <c r="AC22" s="42">
        <f>IFERROR(IF(AND('TaxaLimpeza (Proposta)'!$A22&lt;&gt;"", COUNTIF('Configuração-Imóvel'!$A:$A, $A22)&gt;0), AB22*AA22*Z22,"ID não encontrado"),Tabela1[[#This Row],[Valor por lavanderia '[R$/Kg']20]])</f>
        <v>0</v>
      </c>
      <c r="AD22" s="44">
        <f>IFERROR(IF(A22="",0,VLOOKUP(A22,'Estoque-Imóvel'!A:AC,12,FALSE)),"ID não encontrado")</f>
        <v>2</v>
      </c>
      <c r="AE22" s="40">
        <f>IF(AD22=0,0,IF(AD22="ID não encontrado",0,IFERROR(VLOOKUP($AD$2,'BD - Itens x Peso'!$A:$B,2,FALSE),"Nome ou Peso não encontrado")))</f>
        <v>1.01</v>
      </c>
      <c r="AF22" s="42">
        <f>IFERROR(IF(C22="","Cidade não foi inserida",IF(AD22=0,0,VLOOKUP(C22,'BD - Valor Lavanderia Por Item'!A:R,9,FALSE))),"Cidade não encontrada")</f>
        <v>9.3249999999999993</v>
      </c>
      <c r="AG22" s="42">
        <f>IFERROR(IF(AND('TaxaLimpeza (Proposta)'!$A22&lt;&gt;"", COUNTIF('Configuração-Imóvel'!$A:$A, $A22)&gt;0), AF22*AE22*AD22,"ID não encontrado"),Tabela1[[#This Row],[Valor por lavanderia '[R$/Kg']24]])</f>
        <v>18.836499999999997</v>
      </c>
      <c r="AH22" s="44">
        <f>IFERROR(IF(A22="",0,VLOOKUP(A22,'Estoque-Imóvel'!A:AC,13,FALSE)),"ID não encontrado")</f>
        <v>4</v>
      </c>
      <c r="AI22" s="40">
        <f>IF(AH22=0,0,IF(AH22="ID não encontrado",0,IFERROR(VLOOKUP($AH$2,'BD - Itens x Peso'!$A:$B,2,FALSE),"Nome ou Peso não encontrado")))</f>
        <v>0.3</v>
      </c>
      <c r="AJ22" s="42">
        <f>IFERROR(IF(C22="","Cidade não foi inserida",IF(AH22=0,0,VLOOKUP(C22,'BD - Valor Lavanderia Por Item'!A:R,6,FALSE))),"Cidade não encontrada")</f>
        <v>6.1950000000000003</v>
      </c>
      <c r="AK22" s="42">
        <f>IFERROR(IF(AND('TaxaLimpeza (Proposta)'!$A22&lt;&gt;"", COUNTIF('Configuração-Imóvel'!$A:$A, $A22)&gt;0), AJ22*AI22*AH22,"ID não encontrado"),Tabela1[[#This Row],[Valor por lavanderia '[R$/Kg']28]])</f>
        <v>7.4340000000000002</v>
      </c>
      <c r="AL22" s="44">
        <f>IFERROR(IF(A22="",0,VLOOKUP(A22,'Estoque-Imóvel'!A:AC,14,FALSE)),"ID não encontrado")</f>
        <v>2</v>
      </c>
      <c r="AM22" s="40">
        <f>IF(AL22=0,0,IF(AL22="ID não encontrado",0,IFERROR(VLOOKUP($AL$2,'BD - Itens x Peso'!$A:$B,2,FALSE),"Nome ou Peso não encontrado")))</f>
        <v>0.3</v>
      </c>
      <c r="AN22" s="42">
        <f>IFERROR(IF(C22="","Cidade não foi inserida",IF(AL22=0,0,VLOOKUP(C22,'BD - Valor Lavanderia Por Item'!A:R,8,FALSE))),"Cidade não encontrada")</f>
        <v>8.5425000000000004</v>
      </c>
      <c r="AO22" s="42">
        <f>IFERROR(IF(AND('TaxaLimpeza (Proposta)'!$A22&lt;&gt;"", COUNTIF('Configuração-Imóvel'!$A:$A, $A22)&gt;0), AN22*AM22*AL22,"ID não encontrado"),Tabela1[[#This Row],[Valor por lavanderia '[R$/Kg']32]])</f>
        <v>5.1254999999999997</v>
      </c>
      <c r="AP22" s="44">
        <f>IFERROR(IF(A22="",0,VLOOKUP(A22,'Estoque-Imóvel'!A:AC,15,FALSE)),"ID não encontrado")</f>
        <v>0</v>
      </c>
      <c r="AQ22" s="40">
        <f>IF(AP22=0,0,IF(AP22="ID não encontrado",0,IFERROR(VLOOKUP($AP$2,'BD - Itens x Peso'!$A:$B,2,FALSE),"Nome ou Peso não encontrado")))</f>
        <v>0</v>
      </c>
      <c r="AR22" s="42">
        <f>IFERROR(IF(C22="","Cidade não foi inserida",IF(AP22=0,0,VLOOKUP(C22,'BD - Valor Lavanderia Por Item'!A:R,8,FALSE))),"Cidade não encontrada")</f>
        <v>0</v>
      </c>
      <c r="AS22" s="42">
        <f>IFERROR(IF(AND('TaxaLimpeza (Proposta)'!$A22&lt;&gt;"", COUNTIF('Configuração-Imóvel'!$A:$A, $A22)&gt;0), AR22*AQ22*AP22,"ID não encontrado"),Tabela1[[#This Row],[Valor por lavanderia '[R$/Kg']36]])</f>
        <v>0</v>
      </c>
      <c r="AT22" s="44">
        <f>IFERROR(IF(A22="",0,VLOOKUP(A22,'Estoque-Imóvel'!A:AC,16,FALSE)),"ID não encontrado")</f>
        <v>2</v>
      </c>
      <c r="AU22" s="40">
        <f>IF(AT22=0,0,IF(AT22="ID não encontrado",0,IFERROR(VLOOKUP($AT$2,'BD - Itens x Peso'!$A:$B,2,FALSE),"Nome ou Peso não encontrado")))</f>
        <v>0.3</v>
      </c>
      <c r="AV22" s="42">
        <f>IFERROR(IF(C22="","Cidade não foi inserida",IF(AT22=0,0,VLOOKUP(C22,'BD - Valor Lavanderia Por Item'!A:R,7,FALSE))),"Cidade não encontrada")</f>
        <v>6.9774999999999991</v>
      </c>
      <c r="AW22" s="42">
        <f>IFERROR(IF(AND('TaxaLimpeza (Proposta)'!$A22&lt;&gt;"", COUNTIF('Configuração-Imóvel'!$A:$A, $A22)&gt;0), AV22*AU22*AT22,"ID não encontrado"),Tabela1[[#This Row],[Valor por lavanderia '[R$/Kg']40]])</f>
        <v>4.1864999999999997</v>
      </c>
      <c r="AX22" s="44">
        <f>IFERROR(IF(A22="",0,VLOOKUP(A22,'Estoque-Imóvel'!A:AC,17,FALSE)),"Code não encontrado")</f>
        <v>6</v>
      </c>
      <c r="AY22" s="40">
        <f>IF(AX22=0,0,IF(AX22="ID não encontrado",0,IFERROR(VLOOKUP($AX$2,'BD - Itens x Peso'!$A:$B,2,FALSE),"Nome ou Peso não encontrado")))</f>
        <v>0.19</v>
      </c>
      <c r="AZ22" s="42">
        <f>IFERROR(IF(C22="","Cidade não foi inserida",IF(AX22=0,0,VLOOKUP(C22,'BD - Valor Lavanderia Por Item'!A:R,5,FALSE))),"Cidade não encontrada")</f>
        <v>3.0649999999999999</v>
      </c>
      <c r="BA22" s="42">
        <f>IFERROR(IF(AND('TaxaLimpeza (Proposta)'!$A22&lt;&gt;"", COUNTIF('Configuração-Imóvel'!$A:$A, $A22)&gt;0), AZ22*AY22*AX22,"ID não encontrado"),Tabela1[[#This Row],[Valor por lavanderia '[R$/Kg']44]])</f>
        <v>3.4941000000000004</v>
      </c>
      <c r="BB22" s="44">
        <f>IFERROR(IF(A22="",0,VLOOKUP(A22,'Estoque-Imóvel'!A:AC,18,FALSE)),"ID não encontrado")</f>
        <v>0</v>
      </c>
      <c r="BC22" s="40">
        <f>IF(BB22=0,0,IF(BB22="ID não encontrado",0,IFERROR(VLOOKUP($BB$2,'BD - Itens x Peso'!$A:$B,2,FALSE),"Nome ou Peso não encontrado")))</f>
        <v>0</v>
      </c>
      <c r="BD22" s="42">
        <f>IFERROR(IF(C22="","Cidade não foi inserida",IF(BB22=0,0,VLOOKUP(C22,'BD - Valor Lavanderia Por Item'!A:R,11,FALSE))),"Cidade não encontrada")</f>
        <v>0</v>
      </c>
      <c r="BE22" s="42">
        <f>IFERROR(IF(AND('TaxaLimpeza (Proposta)'!$A22&lt;&gt;"", COUNTIF('Configuração-Imóvel'!$A:$A, $A22)&gt;0), BD22*BC22*BB22,"ID não encontrado"),Tabela1[[#This Row],[Valor por lavanderia '[R$/Kg']48]])</f>
        <v>0</v>
      </c>
      <c r="BF22" s="44">
        <f>IFERROR(IF(A22="",0,VLOOKUP(A22,'Estoque-Imóvel'!A:AC,19,FALSE)),"ID não encontrado")</f>
        <v>1</v>
      </c>
      <c r="BG22" s="40">
        <f>IF(BF22=0,0,IF(BF22="ID não encontrado",0,IFERROR(VLOOKUP($BF$2,'BD - Itens x Peso'!$A:$B,2,FALSE),"Nome ou Peso não encontrado")))</f>
        <v>2.62</v>
      </c>
      <c r="BH22" s="42">
        <f>IFERROR(IF(C22="","Cidade não foi inserida",IF(BF22=0,0,VLOOKUP(C22,'BD - Valor Lavanderia Por Item'!A:R,13,FALSE))),"Cidade não encontrada")</f>
        <v>41.7575</v>
      </c>
      <c r="BI22" s="42">
        <f>IFERROR(IF(AND('TaxaLimpeza (Proposta)'!$A22&lt;&gt;"", COUNTIF('Configuração-Imóvel'!$A:$A, $A22)&gt;0), BH22*BG22*BF22,"ID não encontrado"),Tabela1[[#This Row],[Valor por lavanderia '[R$/Kg']52]])</f>
        <v>109.40465</v>
      </c>
      <c r="BJ22" s="44">
        <f>IFERROR(IF(A22="",0,VLOOKUP(A22,'Estoque-Imóvel'!A:AC,20,FALSE)),"ID não encontrado")</f>
        <v>0</v>
      </c>
      <c r="BK22" s="40">
        <f>IF(BJ22=0,0,IF(BJ22="ID não encontrado",0,IFERROR(VLOOKUP($BJ$2,'BD - Itens x Peso'!$A:$B,2,FALSE),"Nome ou Peso não encontrado")))</f>
        <v>0</v>
      </c>
      <c r="BL22" s="42">
        <f>IFERROR(IF(C22="","Cidade não foi inserida",IF(BJ22=0,0,VLOOKUP(C22,'BD - Valor Lavanderia Por Item'!A:R,13,FALSE))),"Cidade não encontrada")</f>
        <v>0</v>
      </c>
      <c r="BM22" s="42">
        <f>IFERROR(IF(AND('TaxaLimpeza (Proposta)'!$A22&lt;&gt;"", COUNTIF('Configuração-Imóvel'!$A:$A, $A22)&gt;0), BL22*BK22*BJ22,"ID não encontrado"),Tabela1[[#This Row],[Valor por lavanderia '[R$/Kg']56]])</f>
        <v>0</v>
      </c>
      <c r="BN22" s="44">
        <f>IFERROR(IF(A22="",0,VLOOKUP(A22,'Estoque-Imóvel'!A:AC,21,FALSE)),"ID não encontrado")</f>
        <v>1</v>
      </c>
      <c r="BO22" s="40">
        <f>IF(BN22=0,0,IF(BN22="ID não encontrado",0,IFERROR(VLOOKUP($BN$2,'BD - Itens x Peso'!$A:$B,2,FALSE),"Nome ou Peso não encontrado")))</f>
        <v>1.1100000000000001</v>
      </c>
      <c r="BP22" s="42">
        <f>IFERROR(IF(C22="","Cidade não foi inserida",IF(BN22=0,0,VLOOKUP(C22,'BD - Valor Lavanderia Por Item'!A:R,13,FALSE))),"Cidade não encontrada")</f>
        <v>41.7575</v>
      </c>
      <c r="BQ22" s="42">
        <f>IFERROR(IF(AND('TaxaLimpeza (Proposta)'!$A22&lt;&gt;"", COUNTIF('Configuração-Imóvel'!$A:$A, $A22)&gt;0), BP22*BO22*BN22,"ID não encontrado"),Tabela1[[#This Row],[Valor por lavanderia '[R$/Kg']60]])</f>
        <v>46.350825000000007</v>
      </c>
      <c r="BR22" s="44">
        <f>IFERROR(IF(A22="",0,VLOOKUP(A22,'Estoque-Imóvel'!A:AC,22,FALSE)),"ID não encontrado")</f>
        <v>0</v>
      </c>
      <c r="BS22" s="40">
        <f>IF(BR22=0,0,IF(BR22="ID não encontrado",0,IFERROR(VLOOKUP($BR$2,'BD - Itens x Peso'!$A:$B,2,FALSE),"Nome ou Peso não encontrado. Utilizado o Edredom Solteiro como referência")))</f>
        <v>0</v>
      </c>
      <c r="BT22" s="42">
        <f>IFERROR(IF(C22="","Cidade não foi inserida",IF(BR22=0,0,VLOOKUP(C22,'BD - Valor Lavanderia Por Item'!A:R,11,FALSE))),"Cidade não encontrada")</f>
        <v>0</v>
      </c>
      <c r="BU22" s="42">
        <f>IFERROR(IF(AND('TaxaLimpeza (Proposta)'!$A22&lt;&gt;"", COUNTIF('Configuração-Imóvel'!$A:$A, $A22)&gt;0), BT22*BS22*BR22,"ID não encontrado"),BT22*VLOOKUP($BB$2,'BD - Itens x Peso'!$A:$B,2,FALSE)*BR22)</f>
        <v>0</v>
      </c>
      <c r="BV22" s="44">
        <f>IFERROR(IF(A22="",0,VLOOKUP(A22,'Estoque-Imóvel'!A:AC,23,FALSE)),"ID não encontrado")</f>
        <v>0</v>
      </c>
      <c r="BW22" s="40">
        <f>IF(BV22=0,0,IF(BV22="ID não encontrado",0,IFERROR(VLOOKUP($BV$2,'BD - Itens x Peso'!$A:$B,2,FALSE),"Nome ou Peso não encontrado. Utilizado o Edredom Queen Size como referência")))</f>
        <v>0</v>
      </c>
      <c r="BX22" s="42">
        <f>IFERROR(IF(C22="","Cidade não foi inserida",IF(BV22=0,0,VLOOKUP(C22,'BD - Valor Lavanderia Por Item'!A:R,13,FALSE))),"Cidade não encontrada")</f>
        <v>0</v>
      </c>
      <c r="BY22" s="42">
        <f>IFERROR(IF(AND('TaxaLimpeza (Proposta)'!$A22&lt;&gt;"",COUNTIF('Configuração-Imóvel'!$A:$A,$A22)&gt;0),BX22*BW22*BV22,"ID não encontrado"),BX22*(VLOOKUP($BF$2,'BD - Itens x Peso'!$A:$B,2,FALSE)*BV22))</f>
        <v>0</v>
      </c>
      <c r="BZ22" s="44">
        <f>IFERROR(IF(A22="",0,VLOOKUP(A22,'Estoque-Imóvel'!A:AC,24,FALSE)),"ID não encontrado")</f>
        <v>0</v>
      </c>
      <c r="CA22" s="40">
        <f>IF(BZ22=0,0,IF(BZ22="ID não encontrado",0,IFERROR(VLOOKUP($BZ$2,'BD - Itens x Peso'!$A:$B,2,FALSE),"Nome ou Peso não encontrado. Utilizado o peso do Edredom Casal como referência")))</f>
        <v>0</v>
      </c>
      <c r="CB22" s="42">
        <f>IFERROR(IF(C22="","Cidade não foi inserida",IF(BZ22=0,0,VLOOKUP(C22,'BD - Valor Lavanderia Por Item'!A:R,12,FALSE))),"Cidade não encontrada")</f>
        <v>0</v>
      </c>
      <c r="CC22" s="42">
        <f>IFERROR(IF(AND('TaxaLimpeza (Proposta)'!$A22&lt;&gt;"", COUNTIF('Configuração-Imóvel'!$A:$A, $A22)&gt;0), CB22*CA22*BZ22,"ID não encontrado"),VLOOKUP($BN$2,'BD - Itens x Peso'!$A:$B,2,FALSE)*CB22*BZ22)</f>
        <v>0</v>
      </c>
      <c r="CD22" s="44">
        <f>IFERROR(IF(A22="",0,VLOOKUP(A22,'Estoque-Imóvel'!A:AC,25,FALSE)),"ID não encontrado")</f>
        <v>0</v>
      </c>
      <c r="CE22" s="40">
        <f>IF(CD22=0,0,IF(CD22="ID não encontrado",0,IFERROR(VLOOKUP($CD$2,'BD - Itens x Peso'!$A:$B,2,FALSE),"Nome ou Peso não encontrado. Utilizado o Edredom Queen Size como referência")))</f>
        <v>0</v>
      </c>
      <c r="CF22" s="42">
        <f>IFERROR(IF(C22="","Cidade não foi inserida",IF(CD22=0,0,VLOOKUP(C22,'BD - Valor Lavanderia Por Item'!A:R,13,FALSE))),"Cidade não encontrada")</f>
        <v>0</v>
      </c>
      <c r="CG22" s="42">
        <f>IFERROR(IF(AND('TaxaLimpeza (Proposta)'!$A22&lt;&gt;"", COUNTIF('Configuração-Imóvel'!$A:$A, $A22)&gt;0), CF22*CE22*CD22,"ID não encontrado"),VLOOKUP($BF$2,'BD - Itens x Peso'!$A:$B,2,FALSE)*CF22*CD22)</f>
        <v>0</v>
      </c>
      <c r="CH22" s="44">
        <f>IFERROR(IF(A22="",0,VLOOKUP(A22,'Estoque-Imóvel'!A:AC,26,FALSE)),"ID não encontrado")</f>
        <v>0</v>
      </c>
      <c r="CI22" s="40">
        <f>IF(CH22=0,0,IF(CH22="ID não encontrado",0,IFERROR(VLOOKUP($CH$2,'BD - Itens x Peso'!$A:$B,2,FALSE),"Nome ou Peso não encontrado")))</f>
        <v>0</v>
      </c>
      <c r="CJ22" s="42">
        <f>IFERROR(IF(C22="","Cidade não foi inserida",IF(CH22=0,0,VLOOKUP(C22,'BD - Valor Lavanderia Por Item'!A:R,15,FALSE))),"Cidade não encontrada")</f>
        <v>0</v>
      </c>
      <c r="CK22" s="42">
        <f>IFERROR(IF(AND('TaxaLimpeza (Proposta)'!$A22&lt;&gt;"", COUNTIF('Configuração-Imóvel'!$A:$A, $A22)&gt;0), CJ22*CI22*CH22,"ID não encontrado"),Tabela1[[#This Row],[Valor por lavanderia '[R$/Kg']80]])</f>
        <v>0</v>
      </c>
      <c r="CL22" s="44">
        <f>IFERROR(IF(A22="",0,VLOOKUP(A22,'Estoque-Imóvel'!A:AC,27,FALSE)),"ID não encontrado")</f>
        <v>1</v>
      </c>
      <c r="CM22" s="40">
        <f>IF(CL22=0,0,IF(CL22="ID não encontrado",0,IFERROR(VLOOKUP($CL$2,'BD - Itens x Peso'!$A:$B,2,FALSE),"Nome ou Peso não encontrado")))</f>
        <v>1.56</v>
      </c>
      <c r="CN22" s="42">
        <f>IFERROR(IF(C22="","Cidade não foi inserida",IF(CL22=0,0,VLOOKUP(C22,'BD - Valor Lavanderia Por Item'!A:R,17,FALSE))),"Cidade não encontrada")</f>
        <v>16.457000000000001</v>
      </c>
      <c r="CO22" s="42">
        <f>IFERROR(IF(AND('TaxaLimpeza (Proposta)'!$A22&lt;&gt;"", COUNTIF('Configuração-Imóvel'!$A:$A, $A22)&gt;0), CN22*CM22*CL22,"ID não encontrado"),Tabela1[[#This Row],[Valor por lavanderia '[R$/Kg']84]])</f>
        <v>25.672920000000001</v>
      </c>
      <c r="CP22" s="44">
        <f>IFERROR(IF(A22="",0,VLOOKUP(A22,'Estoque-Imóvel'!A:AC,28,FALSE)),"ID não encontrado")</f>
        <v>0</v>
      </c>
      <c r="CQ22" s="40">
        <f>IF(CP22=0,0,IF(CP22="ID não encontrado",0,IFERROR(VLOOKUP($CP$2,'BD - Itens x Peso'!$A:$B,2,FALSE),"Nome ou Peso não encontrado")))</f>
        <v>0</v>
      </c>
      <c r="CR22" s="42">
        <f>IFERROR(IF(C22="","Cidade não foi inserida",IF(CP22=0,0,VLOOKUP(C22,'BD - Valor Lavanderia Por Item'!A:R,18,FALSE))),"Cidade não encontrada")</f>
        <v>0</v>
      </c>
      <c r="CS22" s="42">
        <f>IFERROR(IF(AND('TaxaLimpeza (Proposta)'!$A22&lt;&gt;"", COUNTIF('Configuração-Imóvel'!$A:$A, $A22)&gt;0), CR22*CQ22*CP22,"ID não encontrado"),Tabela1[[#This Row],[Valor por lavanderia '[R$/Kg']3]])</f>
        <v>0</v>
      </c>
      <c r="CT22" s="44">
        <f>IFERROR(IF(A22="",0,VLOOKUP(A22,'Estoque-Imóvel'!A:AC,29,FALSE)),"ID não encontrado")</f>
        <v>1</v>
      </c>
      <c r="CU22" s="40">
        <f>IF(CT22=0,0,IF(CT22="ID não encontrado",0,IFERROR(VLOOKUP($CT$2,'BD - Itens x Peso'!$A:$B,2,FALSE),"Nome ou Peso não encontrado")))</f>
        <v>1.56</v>
      </c>
      <c r="CV22" s="42">
        <f>IFERROR(IF(C22="","Cidade não foi inserida",IF(CT22=0,0,VLOOKUP(C22,'BD - Valor Lavanderia Por Item'!A:R,16,FALSE))),"Cidade não encontrada")</f>
        <v>16.457000000000001</v>
      </c>
      <c r="CW22" s="45">
        <f>IFERROR(IF(AND('TaxaLimpeza (Proposta)'!$A22&lt;&gt;"", COUNTIF('Configuração-Imóvel'!$A:$A, $A22)&gt;0), CV22*CU22*CT22,"ID não encontrado"),Tabela1[[#This Row],[Valor por lavanderia '[R$/Kg']2]])</f>
        <v>25.672920000000001</v>
      </c>
      <c r="CX22" s="34">
        <f t="shared" si="1"/>
        <v>259.83032500000002</v>
      </c>
      <c r="CY22" s="68">
        <f>IFERROR(IF(A22="","",(VLOOKUP(A22,'Configuração-Imóvel'!$A$2:$R$21,16,FALSE)+VLOOKUP(A22,'Configuração-Imóvel'!$A$2:$R$21,17,FALSE))*VLOOKUP($CY$3,'BD - Amenities'!$B$2:$E$7,4,FALSE)),"ID não encontrado")</f>
        <v>0.5</v>
      </c>
      <c r="CZ22" s="69">
        <f>IFERROR(IF(A22="","",(VLOOKUP(A22,'Configuração-Imóvel'!$A$2:$R$21,16,FALSE)+VLOOKUP(A22,'Configuração-Imóvel'!$A$2:$R$21,17,FALSE))*VLOOKUP($CZ$3,'BD - Amenities'!$B$2:$E$7,4,FALSE)),"ID não encontrado")</f>
        <v>4</v>
      </c>
      <c r="DA22" s="69">
        <f>IFERROR(IF(A22="","",VLOOKUP(A22,'Configuração-Imóvel'!$A$2:$R$21,16,FALSE)*VLOOKUP($DA$3,'BD - Amenities'!$B$2:$E$7,4,FALSE)),"ID não encontrado")</f>
        <v>1.5</v>
      </c>
      <c r="DB22" s="69">
        <f>IFERROR(IF(A22="","",VLOOKUP(A22,'Configuração-Imóvel'!$A$2:$R$21,16,FALSE)*VLOOKUP($DB$3,'BD - Amenities'!$B$2:$E$7,4,FALSE)),"ID não encontrado")</f>
        <v>1.5</v>
      </c>
      <c r="DC22" s="35">
        <f t="shared" si="2"/>
        <v>7.5</v>
      </c>
      <c r="DD22" s="37">
        <f>IFERROR(IF(A22="","",VLOOKUP($DD$3,'BD - Material de Limpeza'!$A:$D,4,FALSE)),"ID não encontrado")</f>
        <v>2</v>
      </c>
      <c r="DE22" s="38">
        <f>IFERROR(IF(A22="","",VLOOKUP($DE$3,'BD - Material de Limpeza'!$A:$D,4,FALSE)),"ID não encontrado")</f>
        <v>2</v>
      </c>
      <c r="DF22" s="38">
        <f>IFERROR(IF(A22="","",VLOOKUP($DF$3,'BD - Material de Limpeza'!$A:$D,4,FALSE)),"ID não encontrado")</f>
        <v>1</v>
      </c>
      <c r="DG22" s="38">
        <f>IFERROR(IF(A22="","",VLOOKUP($DG$3,'BD - Material de Limpeza'!$A:$D,4,FALSE)),"ID não encontrado")</f>
        <v>1</v>
      </c>
      <c r="DH22" s="38">
        <f>IFERROR(IF(A22="","",VLOOKUP($DH$3,'BD - Material de Limpeza'!$A:$D,4,FALSE)),"ID não encontrado")</f>
        <v>1</v>
      </c>
      <c r="DI22" s="38">
        <f>IFERROR(IF(A22="","",VLOOKUP($DI$3,'BD - Material de Limpeza'!$A:$D,4,FALSE)),"ID não encontrado")</f>
        <v>1</v>
      </c>
      <c r="DJ22" s="38">
        <f>IFERROR(IF(A22="","",VLOOKUP($DJ$3,'BD - Material de Limpeza'!$A:$D,4,FALSE)),"ID não encontrado")</f>
        <v>1</v>
      </c>
      <c r="DK22" s="36">
        <f t="shared" si="0"/>
        <v>9</v>
      </c>
      <c r="DL22" s="72" cm="1">
        <f t="array" ref="DL22">IFERROR(IF('TaxaLimpeza (Proposta)'!$A22="","",INDEX('BD - Valor Limpeza Diarista'!B:B,INDEX('Configuração-Imóvel'!O:O,MATCH(A22,'Configuração-Imóvel'!A:A,0))+1,0)),"ID não encontrado")</f>
        <v>220</v>
      </c>
      <c r="DM22" s="67">
        <f t="shared" si="3"/>
        <v>545.96335750000003</v>
      </c>
      <c r="DN22" s="23" t="s">
        <v>193</v>
      </c>
      <c r="DP22" s="74"/>
    </row>
    <row r="23" spans="1:120" ht="15" customHeight="1">
      <c r="A23" s="65" t="s">
        <v>29</v>
      </c>
      <c r="B23" s="32" t="s">
        <v>154</v>
      </c>
      <c r="C23" s="32" t="s">
        <v>95</v>
      </c>
      <c r="D23" s="32" t="s">
        <v>155</v>
      </c>
      <c r="E23" s="33" t="s">
        <v>201</v>
      </c>
      <c r="F23" s="39">
        <f>IFERROR(IF(A23="",0,VLOOKUP(A23,'Estoque-Imóvel'!A:AC,6,FALSE)),"ID não encontrado")</f>
        <v>1</v>
      </c>
      <c r="G23" s="40">
        <f>IF(F23=0,0,IF(F23="ID não encontrado",0,IFERROR(VLOOKUP($F$2,'BD - Itens x Peso'!$A:$B,2,FALSE),"Nome ou Peso não encontrado")))</f>
        <v>0.24</v>
      </c>
      <c r="H23" s="41">
        <f>IFERROR(IF(C23="","Cidade não foi inserida",IF(F23=0,0,VLOOKUP(C23,'BD - Valor Lavanderia Por Item'!A:R,2,FALSE))),"Cidade não encontrada")</f>
        <v>2.7519999999999998</v>
      </c>
      <c r="I23" s="42">
        <f>IFERROR(IF(AND('TaxaLimpeza (Proposta)'!$A23&lt;&gt;"", COUNTIF('Configuração-Imóvel'!$A:$A, $A23)&gt;0), H23*G23*F23,"ID não encontrado"),H23)</f>
        <v>0.66047999999999996</v>
      </c>
      <c r="J23" s="43">
        <f>IFERROR(IF(A23="",0,VLOOKUP(A23,'Estoque-Imóvel'!A:AC,7,FALSE)),"ID não encontrado")</f>
        <v>1</v>
      </c>
      <c r="K23" s="40">
        <f>IF(J23=0,0,IF(J23="ID não encontrado",0,IFERROR(VLOOKUP($J$2,'BD - Itens x Peso'!$A:$B,2,FALSE),"Nome ou Peso não encontrado")))</f>
        <v>0.16</v>
      </c>
      <c r="L23" s="41">
        <f>IFERROR(IF(C23="","Cidade não foi inserida",IF(J23=0,0,VLOOKUP(C23,'BD - Valor Lavanderia Por Item'!A:R,3,FALSE))),"Cidade não encontrada")</f>
        <v>3.5345</v>
      </c>
      <c r="M23" s="41">
        <f>IFERROR(IF(AND('TaxaLimpeza (Proposta)'!$A23&lt;&gt;"", COUNTIF('Configuração-Imóvel'!$A:$A, $A23)&gt;0), L23*K23*J23,"ID não encontrado"),Tabela1[[#This Row],[Valor por lavanderia '[R$/Kg']4]])</f>
        <v>0.56552000000000002</v>
      </c>
      <c r="N23" s="44">
        <f>IFERROR(IF(A23="",0,VLOOKUP(A23,'Estoque-Imóvel'!A:AC,8,FALSE)),"ID não encontrado")</f>
        <v>0</v>
      </c>
      <c r="O23" s="40">
        <f>IF(N23=0,0,IF(N23="ID não encontrado",0,IFERROR(VLOOKUP($N$2,'BD - Itens x Peso'!$A:$B,2,FALSE),"Nome ou Peso não encontrado")))</f>
        <v>0</v>
      </c>
      <c r="P23" s="42">
        <f>IFERROR(IF(C23="","Cidade não foi inserida",IF(N23=0,0,VLOOKUP(C23,'BD - Valor Lavanderia Por Item'!A:R,2,FALSE))),"Cidade não encontrada")</f>
        <v>0</v>
      </c>
      <c r="Q23" s="42">
        <f>IFERROR(IF(AND('TaxaLimpeza (Proposta)'!$A23&lt;&gt;"", COUNTIF('Configuração-Imóvel'!$A:$A, $A23)&gt;0), P23*O23*N23,"ID não encontrado"),Tabela1[[#This Row],[Valor por lavanderia '[R$/Kg']8]])</f>
        <v>0</v>
      </c>
      <c r="R23" s="44">
        <f>IFERROR(IF(A23="",0,VLOOKUP(A23,'Estoque-Imóvel'!A:AC,9,FALSE)),"ID não encontrado")</f>
        <v>3</v>
      </c>
      <c r="S23" s="40">
        <f>IF(R23=0,0,IF(R23="ID não encontrado",0,IFERROR(VLOOKUP($R$2,'BD - Itens x Peso'!$A:$B,2,FALSE),"Nome ou Peso não encontrado")))</f>
        <v>0.39</v>
      </c>
      <c r="T23" s="42">
        <f>IFERROR(IF(C23="","Cidade não foi inserida",IF(R23=0,0,VLOOKUP(C23,'BD - Valor Lavanderia Por Item'!A:R,4,FALSE))),"Cidade não encontrada")</f>
        <v>4.7865000000000002</v>
      </c>
      <c r="U23" s="42">
        <f>IFERROR(IF(AND('TaxaLimpeza (Proposta)'!$A23&lt;&gt;"", COUNTIF('Configuração-Imóvel'!$A:$A, $A23)&gt;0), T23*S23*R23,"ID não encontrado"),Tabela1[[#This Row],[Valor por lavanderia '[R$/Kg']12]])</f>
        <v>5.6002049999999999</v>
      </c>
      <c r="V23" s="44">
        <f>IFERROR(IF(A23="",0,VLOOKUP(A23,'Estoque-Imóvel'!A:AC,10,FALSE)),"ID não encontrado")</f>
        <v>0</v>
      </c>
      <c r="W23" s="40">
        <f>IF(V23=0,0,IF(V23="ID não encontrado",0,IFERROR(VLOOKUP($V$2,'BD - Itens x Peso'!$A:$B,2,FALSE),"Nome ou Peso não encontrado")))</f>
        <v>0</v>
      </c>
      <c r="X23" s="42">
        <f>IFERROR(IF(C23="","Cidade não foi inserida",IF(V23=0,0,VLOOKUP(C23,'BD - Valor Lavanderia Por Item'!A:R,3,FALSE))),"Cidade não encontrada")</f>
        <v>0</v>
      </c>
      <c r="Y23" s="42">
        <f>IFERROR(IF(AND('TaxaLimpeza (Proposta)'!$A23&lt;&gt;"", COUNTIF('Configuração-Imóvel'!$A:$A, $A23)&gt;0), X23*W23*V23,"ID não encontrado"),Tabela1[[#This Row],[Valor por lavanderia '[R$/Kg']16]])</f>
        <v>0</v>
      </c>
      <c r="Z23" s="44">
        <f>IFERROR(IF(A23="",0,VLOOKUP(A23,'Estoque-Imóvel'!A:AC,11,FALSE)),"ID não encontrado")</f>
        <v>0</v>
      </c>
      <c r="AA23" s="40">
        <f>IF(Z23=0,0,IF(Z23="ID não encontrado",0,IFERROR(VLOOKUP($Z$2,'BD - Itens x Peso'!$A:$B,2,FALSE),"Nome ou Peso não encontrado")))</f>
        <v>0</v>
      </c>
      <c r="AB23" s="42">
        <f>IFERROR(IF(C23="","Cidade não foi inserida",IF(Z23=0,0,VLOOKUP(C23,'BD - Valor Lavanderia Por Item'!A:R,3,FALSE))),"Cidade não encontrada")</f>
        <v>0</v>
      </c>
      <c r="AC23" s="42">
        <f>IFERROR(IF(AND('TaxaLimpeza (Proposta)'!$A23&lt;&gt;"", COUNTIF('Configuração-Imóvel'!$A:$A, $A23)&gt;0), AB23*AA23*Z23,"ID não encontrado"),Tabela1[[#This Row],[Valor por lavanderia '[R$/Kg']20]])</f>
        <v>0</v>
      </c>
      <c r="AD23" s="44">
        <f>IFERROR(IF(A23="",0,VLOOKUP(A23,'Estoque-Imóvel'!A:AC,12,FALSE)),"ID não encontrado")</f>
        <v>1</v>
      </c>
      <c r="AE23" s="40">
        <f>IF(AD23=0,0,IF(AD23="ID não encontrado",0,IFERROR(VLOOKUP($AD$2,'BD - Itens x Peso'!$A:$B,2,FALSE),"Nome ou Peso não encontrado")))</f>
        <v>1.01</v>
      </c>
      <c r="AF23" s="42">
        <f>IFERROR(IF(C23="","Cidade não foi inserida",IF(AD23=0,0,VLOOKUP(C23,'BD - Valor Lavanderia Por Item'!A:R,9,FALSE))),"Cidade não encontrada")</f>
        <v>9.3249999999999993</v>
      </c>
      <c r="AG23" s="42">
        <f>IFERROR(IF(AND('TaxaLimpeza (Proposta)'!$A23&lt;&gt;"", COUNTIF('Configuração-Imóvel'!$A:$A, $A23)&gt;0), AF23*AE23*AD23,"ID não encontrado"),Tabela1[[#This Row],[Valor por lavanderia '[R$/Kg']24]])</f>
        <v>9.4182499999999987</v>
      </c>
      <c r="AH23" s="44">
        <f>IFERROR(IF(A23="",0,VLOOKUP(A23,'Estoque-Imóvel'!A:AC,13,FALSE)),"ID não encontrado")</f>
        <v>2</v>
      </c>
      <c r="AI23" s="40">
        <f>IF(AH23=0,0,IF(AH23="ID não encontrado",0,IFERROR(VLOOKUP($AH$2,'BD - Itens x Peso'!$A:$B,2,FALSE),"Nome ou Peso não encontrado")))</f>
        <v>0.3</v>
      </c>
      <c r="AJ23" s="42">
        <f>IFERROR(IF(C23="","Cidade não foi inserida",IF(AH23=0,0,VLOOKUP(C23,'BD - Valor Lavanderia Por Item'!A:R,6,FALSE))),"Cidade não encontrada")</f>
        <v>6.1950000000000003</v>
      </c>
      <c r="AK23" s="42">
        <f>IFERROR(IF(AND('TaxaLimpeza (Proposta)'!$A23&lt;&gt;"", COUNTIF('Configuração-Imóvel'!$A:$A, $A23)&gt;0), AJ23*AI23*AH23,"ID não encontrado"),Tabela1[[#This Row],[Valor por lavanderia '[R$/Kg']28]])</f>
        <v>3.7170000000000001</v>
      </c>
      <c r="AL23" s="44">
        <f>IFERROR(IF(A23="",0,VLOOKUP(A23,'Estoque-Imóvel'!A:AC,14,FALSE)),"ID não encontrado")</f>
        <v>0</v>
      </c>
      <c r="AM23" s="40">
        <f>IF(AL23=0,0,IF(AL23="ID não encontrado",0,IFERROR(VLOOKUP($AL$2,'BD - Itens x Peso'!$A:$B,2,FALSE),"Nome ou Peso não encontrado")))</f>
        <v>0</v>
      </c>
      <c r="AN23" s="42">
        <f>IFERROR(IF(C23="","Cidade não foi inserida",IF(AL23=0,0,VLOOKUP(C23,'BD - Valor Lavanderia Por Item'!A:R,8,FALSE))),"Cidade não encontrada")</f>
        <v>0</v>
      </c>
      <c r="AO23" s="42">
        <f>IFERROR(IF(AND('TaxaLimpeza (Proposta)'!$A23&lt;&gt;"", COUNTIF('Configuração-Imóvel'!$A:$A, $A23)&gt;0), AN23*AM23*AL23,"ID não encontrado"),Tabela1[[#This Row],[Valor por lavanderia '[R$/Kg']32]])</f>
        <v>0</v>
      </c>
      <c r="AP23" s="44">
        <f>IFERROR(IF(A23="",0,VLOOKUP(A23,'Estoque-Imóvel'!A:AC,15,FALSE)),"ID não encontrado")</f>
        <v>0</v>
      </c>
      <c r="AQ23" s="40">
        <f>IF(AP23=0,0,IF(AP23="ID não encontrado",0,IFERROR(VLOOKUP($AP$2,'BD - Itens x Peso'!$A:$B,2,FALSE),"Nome ou Peso não encontrado")))</f>
        <v>0</v>
      </c>
      <c r="AR23" s="42">
        <f>IFERROR(IF(C23="","Cidade não foi inserida",IF(AP23=0,0,VLOOKUP(C23,'BD - Valor Lavanderia Por Item'!A:R,8,FALSE))),"Cidade não encontrada")</f>
        <v>0</v>
      </c>
      <c r="AS23" s="42">
        <f>IFERROR(IF(AND('TaxaLimpeza (Proposta)'!$A23&lt;&gt;"", COUNTIF('Configuração-Imóvel'!$A:$A, $A23)&gt;0), AR23*AQ23*AP23,"ID não encontrado"),Tabela1[[#This Row],[Valor por lavanderia '[R$/Kg']36]])</f>
        <v>0</v>
      </c>
      <c r="AT23" s="44">
        <f>IFERROR(IF(A23="",0,VLOOKUP(A23,'Estoque-Imóvel'!A:AC,16,FALSE)),"ID não encontrado")</f>
        <v>2</v>
      </c>
      <c r="AU23" s="40">
        <f>IF(AT23=0,0,IF(AT23="ID não encontrado",0,IFERROR(VLOOKUP($AT$2,'BD - Itens x Peso'!$A:$B,2,FALSE),"Nome ou Peso não encontrado")))</f>
        <v>0.3</v>
      </c>
      <c r="AV23" s="42">
        <f>IFERROR(IF(C23="","Cidade não foi inserida",IF(AT23=0,0,VLOOKUP(C23,'BD - Valor Lavanderia Por Item'!A:R,7,FALSE))),"Cidade não encontrada")</f>
        <v>6.9774999999999991</v>
      </c>
      <c r="AW23" s="42">
        <f>IFERROR(IF(AND('TaxaLimpeza (Proposta)'!$A23&lt;&gt;"", COUNTIF('Configuração-Imóvel'!$A:$A, $A23)&gt;0), AV23*AU23*AT23,"ID não encontrado"),Tabela1[[#This Row],[Valor por lavanderia '[R$/Kg']40]])</f>
        <v>4.1864999999999997</v>
      </c>
      <c r="AX23" s="44">
        <f>IFERROR(IF(A23="",0,VLOOKUP(A23,'Estoque-Imóvel'!A:AC,17,FALSE)),"Code não encontrado")</f>
        <v>3</v>
      </c>
      <c r="AY23" s="40">
        <f>IF(AX23=0,0,IF(AX23="ID não encontrado",0,IFERROR(VLOOKUP($AX$2,'BD - Itens x Peso'!$A:$B,2,FALSE),"Nome ou Peso não encontrado")))</f>
        <v>0.19</v>
      </c>
      <c r="AZ23" s="42">
        <f>IFERROR(IF(C23="","Cidade não foi inserida",IF(AX23=0,0,VLOOKUP(C23,'BD - Valor Lavanderia Por Item'!A:R,5,FALSE))),"Cidade não encontrada")</f>
        <v>3.0649999999999999</v>
      </c>
      <c r="BA23" s="42">
        <f>IFERROR(IF(AND('TaxaLimpeza (Proposta)'!$A23&lt;&gt;"", COUNTIF('Configuração-Imóvel'!$A:$A, $A23)&gt;0), AZ23*AY23*AX23,"ID não encontrado"),Tabela1[[#This Row],[Valor por lavanderia '[R$/Kg']44]])</f>
        <v>1.7470500000000002</v>
      </c>
      <c r="BB23" s="44">
        <f>IFERROR(IF(A23="",0,VLOOKUP(A23,'Estoque-Imóvel'!A:AC,18,FALSE)),"ID não encontrado")</f>
        <v>0</v>
      </c>
      <c r="BC23" s="40">
        <f>IF(BB23=0,0,IF(BB23="ID não encontrado",0,IFERROR(VLOOKUP($BB$2,'BD - Itens x Peso'!$A:$B,2,FALSE),"Nome ou Peso não encontrado")))</f>
        <v>0</v>
      </c>
      <c r="BD23" s="42">
        <f>IFERROR(IF(C23="","Cidade não foi inserida",IF(BB23=0,0,VLOOKUP(C23,'BD - Valor Lavanderia Por Item'!A:R,11,FALSE))),"Cidade não encontrada")</f>
        <v>0</v>
      </c>
      <c r="BE23" s="42">
        <f>IFERROR(IF(AND('TaxaLimpeza (Proposta)'!$A23&lt;&gt;"", COUNTIF('Configuração-Imóvel'!$A:$A, $A23)&gt;0), BD23*BC23*BB23,"ID não encontrado"),Tabela1[[#This Row],[Valor por lavanderia '[R$/Kg']48]])</f>
        <v>0</v>
      </c>
      <c r="BF23" s="44">
        <f>IFERROR(IF(A23="",0,VLOOKUP(A23,'Estoque-Imóvel'!A:AC,19,FALSE)),"ID não encontrado")</f>
        <v>0</v>
      </c>
      <c r="BG23" s="40">
        <f>IF(BF23=0,0,IF(BF23="ID não encontrado",0,IFERROR(VLOOKUP($BF$2,'BD - Itens x Peso'!$A:$B,2,FALSE),"Nome ou Peso não encontrado")))</f>
        <v>0</v>
      </c>
      <c r="BH23" s="42">
        <f>IFERROR(IF(C23="","Cidade não foi inserida",IF(BF23=0,0,VLOOKUP(C23,'BD - Valor Lavanderia Por Item'!A:R,13,FALSE))),"Cidade não encontrada")</f>
        <v>0</v>
      </c>
      <c r="BI23" s="42">
        <f>IFERROR(IF(AND('TaxaLimpeza (Proposta)'!$A23&lt;&gt;"", COUNTIF('Configuração-Imóvel'!$A:$A, $A23)&gt;0), BH23*BG23*BF23,"ID não encontrado"),Tabela1[[#This Row],[Valor por lavanderia '[R$/Kg']52]])</f>
        <v>0</v>
      </c>
      <c r="BJ23" s="44">
        <f>IFERROR(IF(A23="",0,VLOOKUP(A23,'Estoque-Imóvel'!A:AC,20,FALSE)),"ID não encontrado")</f>
        <v>0</v>
      </c>
      <c r="BK23" s="40">
        <f>IF(BJ23=0,0,IF(BJ23="ID não encontrado",0,IFERROR(VLOOKUP($BJ$2,'BD - Itens x Peso'!$A:$B,2,FALSE),"Nome ou Peso não encontrado")))</f>
        <v>0</v>
      </c>
      <c r="BL23" s="42">
        <f>IFERROR(IF(C23="","Cidade não foi inserida",IF(BJ23=0,0,VLOOKUP(C23,'BD - Valor Lavanderia Por Item'!A:R,13,FALSE))),"Cidade não encontrada")</f>
        <v>0</v>
      </c>
      <c r="BM23" s="42">
        <f>IFERROR(IF(AND('TaxaLimpeza (Proposta)'!$A23&lt;&gt;"", COUNTIF('Configuração-Imóvel'!$A:$A, $A23)&gt;0), BL23*BK23*BJ23,"ID não encontrado"),Tabela1[[#This Row],[Valor por lavanderia '[R$/Kg']56]])</f>
        <v>0</v>
      </c>
      <c r="BN23" s="44">
        <f>IFERROR(IF(A23="",0,VLOOKUP(A23,'Estoque-Imóvel'!A:AC,21,FALSE)),"ID não encontrado")</f>
        <v>1</v>
      </c>
      <c r="BO23" s="40">
        <f>IF(BN23=0,0,IF(BN23="ID não encontrado",0,IFERROR(VLOOKUP($BN$2,'BD - Itens x Peso'!$A:$B,2,FALSE),"Nome ou Peso não encontrado")))</f>
        <v>1.1100000000000001</v>
      </c>
      <c r="BP23" s="42">
        <f>IFERROR(IF(C23="","Cidade não foi inserida",IF(BN23=0,0,VLOOKUP(C23,'BD - Valor Lavanderia Por Item'!A:R,13,FALSE))),"Cidade não encontrada")</f>
        <v>41.7575</v>
      </c>
      <c r="BQ23" s="42">
        <f>IFERROR(IF(AND('TaxaLimpeza (Proposta)'!$A23&lt;&gt;"", COUNTIF('Configuração-Imóvel'!$A:$A, $A23)&gt;0), BP23*BO23*BN23,"ID não encontrado"),Tabela1[[#This Row],[Valor por lavanderia '[R$/Kg']60]])</f>
        <v>46.350825000000007</v>
      </c>
      <c r="BR23" s="44">
        <f>IFERROR(IF(A23="",0,VLOOKUP(A23,'Estoque-Imóvel'!A:AC,22,FALSE)),"ID não encontrado")</f>
        <v>0</v>
      </c>
      <c r="BS23" s="40">
        <f>IF(BR23=0,0,IF(BR23="ID não encontrado",0,IFERROR(VLOOKUP($BR$2,'BD - Itens x Peso'!$A:$B,2,FALSE),"Nome ou Peso não encontrado. Utilizado o Edredom Solteiro como referência")))</f>
        <v>0</v>
      </c>
      <c r="BT23" s="42">
        <f>IFERROR(IF(C23="","Cidade não foi inserida",IF(BR23=0,0,VLOOKUP(C23,'BD - Valor Lavanderia Por Item'!A:R,11,FALSE))),"Cidade não encontrada")</f>
        <v>0</v>
      </c>
      <c r="BU23" s="42">
        <f>IFERROR(IF(AND('TaxaLimpeza (Proposta)'!$A23&lt;&gt;"", COUNTIF('Configuração-Imóvel'!$A:$A, $A23)&gt;0), BT23*BS23*BR23,"ID não encontrado"),BT23*VLOOKUP($BB$2,'BD - Itens x Peso'!$A:$B,2,FALSE)*BR23)</f>
        <v>0</v>
      </c>
      <c r="BV23" s="44">
        <f>IFERROR(IF(A23="",0,VLOOKUP(A23,'Estoque-Imóvel'!A:AC,23,FALSE)),"ID não encontrado")</f>
        <v>0</v>
      </c>
      <c r="BW23" s="40">
        <f>IF(BV23=0,0,IF(BV23="ID não encontrado",0,IFERROR(VLOOKUP($BV$2,'BD - Itens x Peso'!$A:$B,2,FALSE),"Nome ou Peso não encontrado. Utilizado o Edredom Queen Size como referência")))</f>
        <v>0</v>
      </c>
      <c r="BX23" s="42">
        <f>IFERROR(IF(C23="","Cidade não foi inserida",IF(BV23=0,0,VLOOKUP(C23,'BD - Valor Lavanderia Por Item'!A:R,13,FALSE))),"Cidade não encontrada")</f>
        <v>0</v>
      </c>
      <c r="BY23" s="42">
        <f>IFERROR(IF(AND('TaxaLimpeza (Proposta)'!$A23&lt;&gt;"",COUNTIF('Configuração-Imóvel'!$A:$A,$A23)&gt;0),BX23*BW23*BV23,"ID não encontrado"),BX23*(VLOOKUP($BF$2,'BD - Itens x Peso'!$A:$B,2,FALSE)*BV23))</f>
        <v>0</v>
      </c>
      <c r="BZ23" s="44">
        <f>IFERROR(IF(A23="",0,VLOOKUP(A23,'Estoque-Imóvel'!A:AC,24,FALSE)),"ID não encontrado")</f>
        <v>0</v>
      </c>
      <c r="CA23" s="40">
        <f>IF(BZ23=0,0,IF(BZ23="ID não encontrado",0,IFERROR(VLOOKUP($BZ$2,'BD - Itens x Peso'!$A:$B,2,FALSE),"Nome ou Peso não encontrado. Utilizado o peso do Edredom Casal como referência")))</f>
        <v>0</v>
      </c>
      <c r="CB23" s="42">
        <f>IFERROR(IF(C23="","Cidade não foi inserida",IF(BZ23=0,0,VLOOKUP(C23,'BD - Valor Lavanderia Por Item'!A:R,12,FALSE))),"Cidade não encontrada")</f>
        <v>0</v>
      </c>
      <c r="CC23" s="42">
        <f>IFERROR(IF(AND('TaxaLimpeza (Proposta)'!$A23&lt;&gt;"", COUNTIF('Configuração-Imóvel'!$A:$A, $A23)&gt;0), CB23*CA23*BZ23,"ID não encontrado"),VLOOKUP($BN$2,'BD - Itens x Peso'!$A:$B,2,FALSE)*CB23*BZ23)</f>
        <v>0</v>
      </c>
      <c r="CD23" s="44">
        <f>IFERROR(IF(A23="",0,VLOOKUP(A23,'Estoque-Imóvel'!A:AC,25,FALSE)),"ID não encontrado")</f>
        <v>0</v>
      </c>
      <c r="CE23" s="40">
        <f>IF(CD23=0,0,IF(CD23="ID não encontrado",0,IFERROR(VLOOKUP($CD$2,'BD - Itens x Peso'!$A:$B,2,FALSE),"Nome ou Peso não encontrado. Utilizado o Edredom Queen Size como referência")))</f>
        <v>0</v>
      </c>
      <c r="CF23" s="42">
        <f>IFERROR(IF(C23="","Cidade não foi inserida",IF(CD23=0,0,VLOOKUP(C23,'BD - Valor Lavanderia Por Item'!A:R,13,FALSE))),"Cidade não encontrada")</f>
        <v>0</v>
      </c>
      <c r="CG23" s="42">
        <f>IFERROR(IF(AND('TaxaLimpeza (Proposta)'!$A23&lt;&gt;"", COUNTIF('Configuração-Imóvel'!$A:$A, $A23)&gt;0), CF23*CE23*CD23,"ID não encontrado"),VLOOKUP($BF$2,'BD - Itens x Peso'!$A:$B,2,FALSE)*CF23*CD23)</f>
        <v>0</v>
      </c>
      <c r="CH23" s="44">
        <f>IFERROR(IF(A23="",0,VLOOKUP(A23,'Estoque-Imóvel'!A:AC,26,FALSE)),"ID não encontrado")</f>
        <v>0</v>
      </c>
      <c r="CI23" s="40">
        <f>IF(CH23=0,0,IF(CH23="ID não encontrado",0,IFERROR(VLOOKUP($CH$2,'BD - Itens x Peso'!$A:$B,2,FALSE),"Nome ou Peso não encontrado")))</f>
        <v>0</v>
      </c>
      <c r="CJ23" s="42">
        <f>IFERROR(IF(C23="","Cidade não foi inserida",IF(CH23=0,0,VLOOKUP(C23,'BD - Valor Lavanderia Por Item'!A:R,15,FALSE))),"Cidade não encontrada")</f>
        <v>0</v>
      </c>
      <c r="CK23" s="42">
        <f>IFERROR(IF(AND('TaxaLimpeza (Proposta)'!$A23&lt;&gt;"", COUNTIF('Configuração-Imóvel'!$A:$A, $A23)&gt;0), CJ23*CI23*CH23,"ID não encontrado"),Tabela1[[#This Row],[Valor por lavanderia '[R$/Kg']80]])</f>
        <v>0</v>
      </c>
      <c r="CL23" s="44">
        <f>IFERROR(IF(A23="",0,VLOOKUP(A23,'Estoque-Imóvel'!A:AC,27,FALSE)),"ID não encontrado")</f>
        <v>0</v>
      </c>
      <c r="CM23" s="40">
        <f>IF(CL23=0,0,IF(CL23="ID não encontrado",0,IFERROR(VLOOKUP($CL$2,'BD - Itens x Peso'!$A:$B,2,FALSE),"Nome ou Peso não encontrado")))</f>
        <v>0</v>
      </c>
      <c r="CN23" s="42">
        <f>IFERROR(IF(C23="","Cidade não foi inserida",IF(CL23=0,0,VLOOKUP(C23,'BD - Valor Lavanderia Por Item'!A:R,17,FALSE))),"Cidade não encontrada")</f>
        <v>0</v>
      </c>
      <c r="CO23" s="42">
        <f>IFERROR(IF(AND('TaxaLimpeza (Proposta)'!$A23&lt;&gt;"", COUNTIF('Configuração-Imóvel'!$A:$A, $A23)&gt;0), CN23*CM23*CL23,"ID não encontrado"),Tabela1[[#This Row],[Valor por lavanderia '[R$/Kg']84]])</f>
        <v>0</v>
      </c>
      <c r="CP23" s="44">
        <f>IFERROR(IF(A23="",0,VLOOKUP(A23,'Estoque-Imóvel'!A:AC,28,FALSE)),"ID não encontrado")</f>
        <v>0</v>
      </c>
      <c r="CQ23" s="40">
        <f>IF(CP23=0,0,IF(CP23="ID não encontrado",0,IFERROR(VLOOKUP($CP$2,'BD - Itens x Peso'!$A:$B,2,FALSE),"Nome ou Peso não encontrado")))</f>
        <v>0</v>
      </c>
      <c r="CR23" s="42">
        <f>IFERROR(IF(C23="","Cidade não foi inserida",IF(CP23=0,0,VLOOKUP(C23,'BD - Valor Lavanderia Por Item'!A:R,18,FALSE))),"Cidade não encontrada")</f>
        <v>0</v>
      </c>
      <c r="CS23" s="42">
        <f>IFERROR(IF(AND('TaxaLimpeza (Proposta)'!$A23&lt;&gt;"", COUNTIF('Configuração-Imóvel'!$A:$A, $A23)&gt;0), CR23*CQ23*CP23,"ID não encontrado"),Tabela1[[#This Row],[Valor por lavanderia '[R$/Kg']3]])</f>
        <v>0</v>
      </c>
      <c r="CT23" s="44">
        <f>IFERROR(IF(A23="",0,VLOOKUP(A23,'Estoque-Imóvel'!A:AC,29,FALSE)),"ID não encontrado")</f>
        <v>1</v>
      </c>
      <c r="CU23" s="40">
        <f>IF(CT23=0,0,IF(CT23="ID não encontrado",0,IFERROR(VLOOKUP($CT$2,'BD - Itens x Peso'!$A:$B,2,FALSE),"Nome ou Peso não encontrado")))</f>
        <v>1.56</v>
      </c>
      <c r="CV23" s="42">
        <f>IFERROR(IF(C23="","Cidade não foi inserida",IF(CT23=0,0,VLOOKUP(C23,'BD - Valor Lavanderia Por Item'!A:R,16,FALSE))),"Cidade não encontrada")</f>
        <v>16.457000000000001</v>
      </c>
      <c r="CW23" s="45">
        <f>IFERROR(IF(AND('TaxaLimpeza (Proposta)'!$A23&lt;&gt;"", COUNTIF('Configuração-Imóvel'!$A:$A, $A23)&gt;0), CV23*CU23*CT23,"ID não encontrado"),Tabela1[[#This Row],[Valor por lavanderia '[R$/Kg']2]])</f>
        <v>25.672920000000001</v>
      </c>
      <c r="CX23" s="34">
        <f t="shared" si="1"/>
        <v>97.918750000000017</v>
      </c>
      <c r="CY23" s="68">
        <f>IFERROR(IF(A23="","",(VLOOKUP(A23,'Configuração-Imóvel'!$A$2:$R$21,16,FALSE)+VLOOKUP(A23,'Configuração-Imóvel'!$A$2:$R$21,17,FALSE))*VLOOKUP($CY$3,'BD - Amenities'!$B$2:$E$7,4,FALSE)),"ID não encontrado")</f>
        <v>0.5</v>
      </c>
      <c r="CZ23" s="69">
        <f>IFERROR(IF(A23="","",(VLOOKUP(A23,'Configuração-Imóvel'!$A$2:$R$21,16,FALSE)+VLOOKUP(A23,'Configuração-Imóvel'!$A$2:$R$21,17,FALSE))*VLOOKUP($CZ$3,'BD - Amenities'!$B$2:$E$7,4,FALSE)),"ID não encontrado")</f>
        <v>4</v>
      </c>
      <c r="DA23" s="69">
        <f>IFERROR(IF(A23="","",VLOOKUP(A23,'Configuração-Imóvel'!$A$2:$R$21,16,FALSE)*VLOOKUP($DA$3,'BD - Amenities'!$B$2:$E$7,4,FALSE)),"ID não encontrado")</f>
        <v>1.5</v>
      </c>
      <c r="DB23" s="69">
        <f>IFERROR(IF(A23="","",VLOOKUP(A23,'Configuração-Imóvel'!$A$2:$R$21,16,FALSE)*VLOOKUP($DB$3,'BD - Amenities'!$B$2:$E$7,4,FALSE)),"ID não encontrado")</f>
        <v>1.5</v>
      </c>
      <c r="DC23" s="35">
        <f t="shared" si="2"/>
        <v>7.5</v>
      </c>
      <c r="DD23" s="37">
        <f>IFERROR(IF(A23="","",VLOOKUP($DD$3,'BD - Material de Limpeza'!$A:$D,4,FALSE)),"ID não encontrado")</f>
        <v>2</v>
      </c>
      <c r="DE23" s="38">
        <f>IFERROR(IF(A23="","",VLOOKUP($DE$3,'BD - Material de Limpeza'!$A:$D,4,FALSE)),"ID não encontrado")</f>
        <v>2</v>
      </c>
      <c r="DF23" s="38">
        <f>IFERROR(IF(A23="","",VLOOKUP($DF$3,'BD - Material de Limpeza'!$A:$D,4,FALSE)),"ID não encontrado")</f>
        <v>1</v>
      </c>
      <c r="DG23" s="38">
        <f>IFERROR(IF(A23="","",VLOOKUP($DG$3,'BD - Material de Limpeza'!$A:$D,4,FALSE)),"ID não encontrado")</f>
        <v>1</v>
      </c>
      <c r="DH23" s="38">
        <f>IFERROR(IF(A23="","",VLOOKUP($DH$3,'BD - Material de Limpeza'!$A:$D,4,FALSE)),"ID não encontrado")</f>
        <v>1</v>
      </c>
      <c r="DI23" s="38">
        <f>IFERROR(IF(A23="","",VLOOKUP($DI$3,'BD - Material de Limpeza'!$A:$D,4,FALSE)),"ID não encontrado")</f>
        <v>1</v>
      </c>
      <c r="DJ23" s="38">
        <f>IFERROR(IF(A23="","",VLOOKUP($DJ$3,'BD - Material de Limpeza'!$A:$D,4,FALSE)),"ID não encontrado")</f>
        <v>1</v>
      </c>
      <c r="DK23" s="36">
        <f t="shared" si="0"/>
        <v>9</v>
      </c>
      <c r="DL23" s="72" cm="1">
        <f t="array" ref="DL23">IFERROR(IF('TaxaLimpeza (Proposta)'!$A23="","",INDEX('BD - Valor Limpeza Diarista'!B:B,INDEX('Configuração-Imóvel'!O:O,MATCH(A23,'Configuração-Imóvel'!A:A,0))+1,0)),"ID não encontrado")</f>
        <v>220</v>
      </c>
      <c r="DM23" s="67">
        <f t="shared" si="3"/>
        <v>367.86062500000008</v>
      </c>
      <c r="DP23" s="74"/>
    </row>
  </sheetData>
  <mergeCells count="28">
    <mergeCell ref="B1:E2"/>
    <mergeCell ref="F1:CX1"/>
    <mergeCell ref="F2:I2"/>
    <mergeCell ref="J2:M2"/>
    <mergeCell ref="N2:Q2"/>
    <mergeCell ref="R2:U2"/>
    <mergeCell ref="V2:Y2"/>
    <mergeCell ref="Z2:AC2"/>
    <mergeCell ref="AD2:AG2"/>
    <mergeCell ref="BB2:BE2"/>
    <mergeCell ref="BF2:BI2"/>
    <mergeCell ref="BJ2:BM2"/>
    <mergeCell ref="BN2:BQ2"/>
    <mergeCell ref="AH2:AK2"/>
    <mergeCell ref="CY1:DC1"/>
    <mergeCell ref="DD1:DK1"/>
    <mergeCell ref="AL2:AO2"/>
    <mergeCell ref="AP2:AS2"/>
    <mergeCell ref="AT2:AW2"/>
    <mergeCell ref="AX2:BA2"/>
    <mergeCell ref="CL2:CO2"/>
    <mergeCell ref="CP2:CS2"/>
    <mergeCell ref="CT2:CW2"/>
    <mergeCell ref="BR2:BU2"/>
    <mergeCell ref="BV2:BY2"/>
    <mergeCell ref="BZ2:CC2"/>
    <mergeCell ref="CD2:CG2"/>
    <mergeCell ref="CH2:CK2"/>
  </mergeCells>
  <dataValidations disablePrompts="1" count="1">
    <dataValidation type="list" allowBlank="1" showInputMessage="1" showErrorMessage="1" sqref="E4:E1048576" xr:uid="{461EA4BE-86CE-42CF-9F85-F67DA9CE9B49}">
      <formula1>"Ativo, Inativo"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CX4 DL4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60" r:id="rId4" name="Button 28">
              <controlPr defaultSize="0" print="0" autoFill="0" autoPict="0" macro="[0]!AdicionarNovoImovel" altText="Botão para adicionar Imóveis">
                <anchor moveWithCells="1">
                  <from>
                    <xdr:col>0</xdr:col>
                    <xdr:colOff>76200</xdr:colOff>
                    <xdr:row>0</xdr:row>
                    <xdr:rowOff>28575</xdr:rowOff>
                  </from>
                  <to>
                    <xdr:col>0</xdr:col>
                    <xdr:colOff>1095375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3BFE3-0460-40E4-A033-08D9E9DBFDEF}">
  <sheetPr>
    <tabColor rgb="FF92D050"/>
  </sheetPr>
  <dimension ref="A1:DT27"/>
  <sheetViews>
    <sheetView zoomScale="175" zoomScaleNormal="175" workbookViewId="0">
      <selection sqref="A1:D1"/>
    </sheetView>
  </sheetViews>
  <sheetFormatPr defaultRowHeight="12.75"/>
  <cols>
    <col min="1" max="1" width="8" bestFit="1" customWidth="1"/>
    <col min="2" max="2" width="27.28515625" customWidth="1"/>
    <col min="3" max="3" width="30.42578125" hidden="1" customWidth="1"/>
    <col min="4" max="4" width="27.28515625" customWidth="1"/>
    <col min="6" max="6" width="4.85546875" customWidth="1"/>
    <col min="7" max="7" width="9.28515625" customWidth="1"/>
    <col min="8" max="121" width="9.140625" hidden="1" customWidth="1"/>
    <col min="122" max="122" width="0" hidden="1" customWidth="1"/>
    <col min="123" max="123" width="17.85546875" style="31" customWidth="1"/>
  </cols>
  <sheetData>
    <row r="1" spans="1:124" ht="15.75" thickBot="1">
      <c r="A1" s="106" t="s">
        <v>298</v>
      </c>
      <c r="B1" s="107"/>
      <c r="C1" s="107"/>
      <c r="D1" s="107"/>
    </row>
    <row r="2" spans="1:124" ht="15">
      <c r="A2" s="79" t="s">
        <v>0</v>
      </c>
      <c r="B2" s="77" t="s">
        <v>300</v>
      </c>
      <c r="C2" s="77" t="s">
        <v>299</v>
      </c>
      <c r="D2" s="77" t="s">
        <v>301</v>
      </c>
      <c r="F2" s="108" t="s">
        <v>302</v>
      </c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8"/>
      <c r="BQ2" s="108"/>
      <c r="BR2" s="108"/>
      <c r="BS2" s="108"/>
      <c r="BT2" s="108"/>
      <c r="BU2" s="108"/>
      <c r="BV2" s="108"/>
      <c r="BW2" s="108"/>
      <c r="BX2" s="108"/>
      <c r="BY2" s="108"/>
      <c r="BZ2" s="108"/>
      <c r="CA2" s="108"/>
      <c r="CB2" s="108"/>
      <c r="CC2" s="108"/>
      <c r="CD2" s="108"/>
      <c r="CE2" s="108"/>
      <c r="CF2" s="108"/>
      <c r="CG2" s="108"/>
      <c r="CH2" s="108"/>
      <c r="CI2" s="108"/>
      <c r="CJ2" s="108"/>
      <c r="CK2" s="108"/>
      <c r="CL2" s="108"/>
      <c r="CM2" s="108"/>
      <c r="CN2" s="108"/>
      <c r="CO2" s="108"/>
      <c r="CP2" s="108"/>
      <c r="CQ2" s="108"/>
      <c r="CR2" s="108"/>
      <c r="CS2" s="108"/>
      <c r="CT2" s="108"/>
      <c r="CU2" s="108"/>
      <c r="CV2" s="108"/>
      <c r="CW2" s="108"/>
      <c r="CX2" s="108"/>
      <c r="CY2" s="108"/>
      <c r="CZ2" s="108"/>
      <c r="DA2" s="108"/>
      <c r="DB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08"/>
      <c r="DR2" s="108"/>
      <c r="DS2" s="108"/>
    </row>
    <row r="3" spans="1:124">
      <c r="A3" s="80" t="str">
        <f>VLOOKUP('TaxaLimpeza (Proposta)'!A4,'TaxaLimpeza (Atual)'!A:B,1,FALSE)</f>
        <v>OKA101</v>
      </c>
      <c r="B3" s="75">
        <f>VLOOKUP('TaxaLimpeza (Proposta)'!A4,'TaxaLimpeza (Atual)'!A:B,2,FALSE)-'TaxaLimpeza (Proposta)'!DM4</f>
        <v>-281.647738</v>
      </c>
      <c r="C3" s="75">
        <f>'TaxaLimpeza (Proposta)'!DM4-'TaxaLimpeza (Proposta)'!DM4*0.9</f>
        <v>54.7647738</v>
      </c>
      <c r="D3" s="75">
        <f>B3+C3</f>
        <v>-226.8829642</v>
      </c>
      <c r="F3" s="84" t="s">
        <v>303</v>
      </c>
      <c r="G3" s="84" t="str" cm="1">
        <f t="array" ref="G3:DS22">_xlfn.SORTBY('TaxaLimpeza (Proposta)'!A4:DM23,'TaxaLimpeza (Proposta)'!DM4:DM23,-1)</f>
        <v>OKA106</v>
      </c>
      <c r="H3" s="84" t="str">
        <v>Campeche</v>
      </c>
      <c r="I3" s="84" t="str">
        <v>Florianópolis</v>
      </c>
      <c r="J3" s="84" t="str">
        <v>SC</v>
      </c>
      <c r="K3" s="84" t="str">
        <v>Ativo</v>
      </c>
      <c r="L3" s="84">
        <v>2</v>
      </c>
      <c r="M3" s="84">
        <v>0.24</v>
      </c>
      <c r="N3" s="84">
        <v>2.7519999999999998</v>
      </c>
      <c r="O3" s="84">
        <v>1.3209599999999999</v>
      </c>
      <c r="P3" s="84">
        <v>2</v>
      </c>
      <c r="Q3" s="84">
        <v>0.16</v>
      </c>
      <c r="R3" s="84">
        <v>3.5345</v>
      </c>
      <c r="S3" s="84">
        <v>1.13104</v>
      </c>
      <c r="T3" s="84">
        <v>0</v>
      </c>
      <c r="U3" s="84">
        <v>0</v>
      </c>
      <c r="V3" s="84">
        <v>0</v>
      </c>
      <c r="W3" s="84">
        <v>0</v>
      </c>
      <c r="X3" s="84">
        <v>7</v>
      </c>
      <c r="Y3" s="84">
        <v>0.39</v>
      </c>
      <c r="Z3" s="84">
        <v>4.7865000000000002</v>
      </c>
      <c r="AA3" s="84">
        <v>13.067145</v>
      </c>
      <c r="AB3" s="84">
        <v>0</v>
      </c>
      <c r="AC3" s="84">
        <v>0</v>
      </c>
      <c r="AD3" s="84">
        <v>0</v>
      </c>
      <c r="AE3" s="84">
        <v>0</v>
      </c>
      <c r="AF3" s="84">
        <v>0</v>
      </c>
      <c r="AG3" s="84">
        <v>0</v>
      </c>
      <c r="AH3" s="84">
        <v>0</v>
      </c>
      <c r="AI3" s="84">
        <v>0</v>
      </c>
      <c r="AJ3" s="84">
        <v>3</v>
      </c>
      <c r="AK3" s="84">
        <v>1.01</v>
      </c>
      <c r="AL3" s="84">
        <v>9.3249999999999993</v>
      </c>
      <c r="AM3" s="84">
        <v>28.254749999999994</v>
      </c>
      <c r="AN3" s="84">
        <v>6</v>
      </c>
      <c r="AO3" s="84">
        <v>0.3</v>
      </c>
      <c r="AP3" s="84">
        <v>6.1950000000000003</v>
      </c>
      <c r="AQ3" s="84">
        <v>11.151</v>
      </c>
      <c r="AR3" s="84">
        <v>4</v>
      </c>
      <c r="AS3" s="84">
        <v>0.3</v>
      </c>
      <c r="AT3" s="84">
        <v>8.5425000000000004</v>
      </c>
      <c r="AU3" s="84">
        <v>10.250999999999999</v>
      </c>
      <c r="AV3" s="84">
        <v>0</v>
      </c>
      <c r="AW3" s="84">
        <v>0</v>
      </c>
      <c r="AX3" s="84">
        <v>0</v>
      </c>
      <c r="AY3" s="84">
        <v>0</v>
      </c>
      <c r="AZ3" s="84">
        <v>0</v>
      </c>
      <c r="BA3" s="84">
        <v>0</v>
      </c>
      <c r="BB3" s="84">
        <v>0</v>
      </c>
      <c r="BC3" s="84">
        <v>0</v>
      </c>
      <c r="BD3" s="84">
        <v>7</v>
      </c>
      <c r="BE3" s="84">
        <v>0.19</v>
      </c>
      <c r="BF3" s="84">
        <v>3.0649999999999999</v>
      </c>
      <c r="BG3" s="84">
        <v>4.0764500000000004</v>
      </c>
      <c r="BH3" s="84">
        <v>0</v>
      </c>
      <c r="BI3" s="84">
        <v>0</v>
      </c>
      <c r="BJ3" s="84">
        <v>0</v>
      </c>
      <c r="BK3" s="84">
        <v>0</v>
      </c>
      <c r="BL3" s="84">
        <v>2</v>
      </c>
      <c r="BM3" s="84">
        <v>2.62</v>
      </c>
      <c r="BN3" s="84">
        <v>41.7575</v>
      </c>
      <c r="BO3" s="84">
        <v>218.80930000000001</v>
      </c>
      <c r="BP3" s="84">
        <v>0</v>
      </c>
      <c r="BQ3" s="84">
        <v>0</v>
      </c>
      <c r="BR3" s="84">
        <v>0</v>
      </c>
      <c r="BS3" s="84">
        <v>0</v>
      </c>
      <c r="BT3" s="84">
        <v>0</v>
      </c>
      <c r="BU3" s="84">
        <v>0</v>
      </c>
      <c r="BV3" s="84">
        <v>0</v>
      </c>
      <c r="BW3" s="84">
        <v>0</v>
      </c>
      <c r="BX3" s="84">
        <v>0</v>
      </c>
      <c r="BY3" s="84">
        <v>0</v>
      </c>
      <c r="BZ3" s="84">
        <v>0</v>
      </c>
      <c r="CA3" s="84">
        <v>0</v>
      </c>
      <c r="CB3" s="84">
        <v>0</v>
      </c>
      <c r="CC3" s="84">
        <v>0</v>
      </c>
      <c r="CD3" s="84">
        <v>0</v>
      </c>
      <c r="CE3" s="84">
        <v>0</v>
      </c>
      <c r="CF3" s="84">
        <v>0</v>
      </c>
      <c r="CG3" s="84">
        <v>0</v>
      </c>
      <c r="CH3" s="84">
        <v>0</v>
      </c>
      <c r="CI3" s="84">
        <v>0</v>
      </c>
      <c r="CJ3" s="84">
        <v>0</v>
      </c>
      <c r="CK3" s="84">
        <v>0</v>
      </c>
      <c r="CL3" s="84">
        <v>0</v>
      </c>
      <c r="CM3" s="84">
        <v>0</v>
      </c>
      <c r="CN3" s="84">
        <v>0</v>
      </c>
      <c r="CO3" s="84">
        <v>0</v>
      </c>
      <c r="CP3" s="84">
        <v>0</v>
      </c>
      <c r="CQ3" s="84">
        <v>0</v>
      </c>
      <c r="CR3" s="84">
        <v>2</v>
      </c>
      <c r="CS3" s="84">
        <v>1.56</v>
      </c>
      <c r="CT3" s="84">
        <v>16.457000000000001</v>
      </c>
      <c r="CU3" s="84">
        <v>51.345840000000003</v>
      </c>
      <c r="CV3" s="84">
        <v>0</v>
      </c>
      <c r="CW3" s="84">
        <v>0</v>
      </c>
      <c r="CX3" s="84">
        <v>0</v>
      </c>
      <c r="CY3" s="84">
        <v>0</v>
      </c>
      <c r="CZ3" s="84">
        <v>0</v>
      </c>
      <c r="DA3" s="84">
        <v>0</v>
      </c>
      <c r="DB3" s="84">
        <v>0</v>
      </c>
      <c r="DC3" s="84">
        <v>0</v>
      </c>
      <c r="DD3" s="84">
        <v>339.40748500000001</v>
      </c>
      <c r="DE3" s="84">
        <v>0.5</v>
      </c>
      <c r="DF3" s="84">
        <v>4</v>
      </c>
      <c r="DG3" s="84">
        <v>1.5</v>
      </c>
      <c r="DH3" s="84">
        <v>1.5</v>
      </c>
      <c r="DI3" s="84">
        <v>7.5</v>
      </c>
      <c r="DJ3" s="84">
        <v>2</v>
      </c>
      <c r="DK3" s="84">
        <v>2</v>
      </c>
      <c r="DL3" s="84">
        <v>1</v>
      </c>
      <c r="DM3" s="84">
        <v>1</v>
      </c>
      <c r="DN3" s="84">
        <v>1</v>
      </c>
      <c r="DO3" s="84">
        <v>1</v>
      </c>
      <c r="DP3" s="84">
        <v>1</v>
      </c>
      <c r="DQ3" s="84">
        <v>9</v>
      </c>
      <c r="DR3" s="84">
        <v>220</v>
      </c>
      <c r="DS3" s="85">
        <v>633.49823349999997</v>
      </c>
      <c r="DT3" s="78"/>
    </row>
    <row r="4" spans="1:124">
      <c r="A4" s="80" t="str">
        <f>VLOOKUP('TaxaLimpeza (Proposta)'!A5,'TaxaLimpeza (Atual)'!A:B,1,FALSE)</f>
        <v>OKA102</v>
      </c>
      <c r="B4" s="75">
        <f>VLOOKUP('TaxaLimpeza (Proposta)'!A5,'TaxaLimpeza (Atual)'!A:B,2,FALSE)-'TaxaLimpeza (Proposta)'!DM5</f>
        <v>-324.72132800000009</v>
      </c>
      <c r="C4" s="75">
        <f>'TaxaLimpeza (Proposta)'!DM5-'TaxaLimpeza (Proposta)'!DM5*0.9</f>
        <v>58.072132799999963</v>
      </c>
      <c r="D4" s="75">
        <f t="shared" ref="D4:D22" si="0">B4+C4</f>
        <v>-266.64919520000012</v>
      </c>
      <c r="F4" s="84" t="s">
        <v>304</v>
      </c>
      <c r="G4" s="84" t="str">
        <v>OKA102</v>
      </c>
      <c r="H4" s="84" t="str">
        <v>Campeche</v>
      </c>
      <c r="I4" s="84" t="str">
        <v>Florianópolis</v>
      </c>
      <c r="J4" s="84" t="str">
        <v>SC</v>
      </c>
      <c r="K4" s="84" t="str">
        <v>Ativo</v>
      </c>
      <c r="L4" s="84">
        <v>1</v>
      </c>
      <c r="M4" s="84">
        <v>0.24</v>
      </c>
      <c r="N4" s="84">
        <v>2.7519999999999998</v>
      </c>
      <c r="O4" s="84">
        <v>0.66047999999999996</v>
      </c>
      <c r="P4" s="84">
        <v>1</v>
      </c>
      <c r="Q4" s="84">
        <v>0.16</v>
      </c>
      <c r="R4" s="84">
        <v>3.5345</v>
      </c>
      <c r="S4" s="84">
        <v>0.56552000000000002</v>
      </c>
      <c r="T4" s="84">
        <v>0</v>
      </c>
      <c r="U4" s="84">
        <v>0</v>
      </c>
      <c r="V4" s="84">
        <v>0</v>
      </c>
      <c r="W4" s="84">
        <v>0</v>
      </c>
      <c r="X4" s="84">
        <v>4</v>
      </c>
      <c r="Y4" s="84">
        <v>0.39</v>
      </c>
      <c r="Z4" s="84">
        <v>4.7865000000000002</v>
      </c>
      <c r="AA4" s="84">
        <v>7.4669400000000001</v>
      </c>
      <c r="AB4" s="84">
        <v>0</v>
      </c>
      <c r="AC4" s="84">
        <v>0</v>
      </c>
      <c r="AD4" s="84">
        <v>0</v>
      </c>
      <c r="AE4" s="84">
        <v>0</v>
      </c>
      <c r="AF4" s="84">
        <v>0</v>
      </c>
      <c r="AG4" s="84">
        <v>0</v>
      </c>
      <c r="AH4" s="84">
        <v>0</v>
      </c>
      <c r="AI4" s="84">
        <v>0</v>
      </c>
      <c r="AJ4" s="84">
        <v>0</v>
      </c>
      <c r="AK4" s="84">
        <v>0</v>
      </c>
      <c r="AL4" s="84">
        <v>0</v>
      </c>
      <c r="AM4" s="84">
        <v>0</v>
      </c>
      <c r="AN4" s="84">
        <v>0</v>
      </c>
      <c r="AO4" s="84">
        <v>0</v>
      </c>
      <c r="AP4" s="84">
        <v>0</v>
      </c>
      <c r="AQ4" s="84">
        <v>0</v>
      </c>
      <c r="AR4" s="84">
        <v>4</v>
      </c>
      <c r="AS4" s="84">
        <v>0.3</v>
      </c>
      <c r="AT4" s="84">
        <v>8.5425000000000004</v>
      </c>
      <c r="AU4" s="84">
        <v>10.250999999999999</v>
      </c>
      <c r="AV4" s="84">
        <v>0</v>
      </c>
      <c r="AW4" s="84">
        <v>0</v>
      </c>
      <c r="AX4" s="84">
        <v>0</v>
      </c>
      <c r="AY4" s="84">
        <v>0</v>
      </c>
      <c r="AZ4" s="84">
        <v>0</v>
      </c>
      <c r="BA4" s="84">
        <v>0</v>
      </c>
      <c r="BB4" s="84">
        <v>0</v>
      </c>
      <c r="BC4" s="84">
        <v>0</v>
      </c>
      <c r="BD4" s="84">
        <v>4</v>
      </c>
      <c r="BE4" s="84">
        <v>0.19</v>
      </c>
      <c r="BF4" s="84">
        <v>3.0649999999999999</v>
      </c>
      <c r="BG4" s="84">
        <v>2.3294000000000001</v>
      </c>
      <c r="BH4" s="84">
        <v>0</v>
      </c>
      <c r="BI4" s="84">
        <v>0</v>
      </c>
      <c r="BJ4" s="84">
        <v>0</v>
      </c>
      <c r="BK4" s="84">
        <v>0</v>
      </c>
      <c r="BL4" s="84">
        <v>2</v>
      </c>
      <c r="BM4" s="84">
        <v>2.62</v>
      </c>
      <c r="BN4" s="84">
        <v>41.7575</v>
      </c>
      <c r="BO4" s="84">
        <v>218.80930000000001</v>
      </c>
      <c r="BP4" s="84">
        <v>0</v>
      </c>
      <c r="BQ4" s="84">
        <v>0</v>
      </c>
      <c r="BR4" s="84">
        <v>0</v>
      </c>
      <c r="BS4" s="84">
        <v>0</v>
      </c>
      <c r="BT4" s="84">
        <v>0</v>
      </c>
      <c r="BU4" s="84">
        <v>0</v>
      </c>
      <c r="BV4" s="84">
        <v>0</v>
      </c>
      <c r="BW4" s="84">
        <v>0</v>
      </c>
      <c r="BX4" s="84">
        <v>0</v>
      </c>
      <c r="BY4" s="84">
        <v>0</v>
      </c>
      <c r="BZ4" s="84">
        <v>0</v>
      </c>
      <c r="CA4" s="84">
        <v>0</v>
      </c>
      <c r="CB4" s="84">
        <v>0</v>
      </c>
      <c r="CC4" s="84">
        <v>0</v>
      </c>
      <c r="CD4" s="84">
        <v>0</v>
      </c>
      <c r="CE4" s="84">
        <v>0</v>
      </c>
      <c r="CF4" s="84">
        <v>0</v>
      </c>
      <c r="CG4" s="84">
        <v>0</v>
      </c>
      <c r="CH4" s="84">
        <v>0</v>
      </c>
      <c r="CI4" s="84">
        <v>0</v>
      </c>
      <c r="CJ4" s="84">
        <v>0</v>
      </c>
      <c r="CK4" s="84">
        <v>0</v>
      </c>
      <c r="CL4" s="84">
        <v>0</v>
      </c>
      <c r="CM4" s="84">
        <v>0</v>
      </c>
      <c r="CN4" s="84">
        <v>0</v>
      </c>
      <c r="CO4" s="84">
        <v>0</v>
      </c>
      <c r="CP4" s="84">
        <v>0</v>
      </c>
      <c r="CQ4" s="84">
        <v>0</v>
      </c>
      <c r="CR4" s="84">
        <v>2</v>
      </c>
      <c r="CS4" s="84">
        <v>1.56</v>
      </c>
      <c r="CT4" s="84">
        <v>16.457000000000001</v>
      </c>
      <c r="CU4" s="84">
        <v>51.345840000000003</v>
      </c>
      <c r="CV4" s="84">
        <v>0</v>
      </c>
      <c r="CW4" s="84">
        <v>0</v>
      </c>
      <c r="CX4" s="84">
        <v>0</v>
      </c>
      <c r="CY4" s="84">
        <v>0</v>
      </c>
      <c r="CZ4" s="84">
        <v>0</v>
      </c>
      <c r="DA4" s="84">
        <v>0</v>
      </c>
      <c r="DB4" s="84">
        <v>0</v>
      </c>
      <c r="DC4" s="84">
        <v>0</v>
      </c>
      <c r="DD4" s="84">
        <v>291.42847999999998</v>
      </c>
      <c r="DE4" s="84">
        <v>0.5</v>
      </c>
      <c r="DF4" s="84">
        <v>4</v>
      </c>
      <c r="DG4" s="84">
        <v>1.5</v>
      </c>
      <c r="DH4" s="84">
        <v>1.5</v>
      </c>
      <c r="DI4" s="84">
        <v>7.5</v>
      </c>
      <c r="DJ4" s="84">
        <v>2</v>
      </c>
      <c r="DK4" s="84">
        <v>2</v>
      </c>
      <c r="DL4" s="84">
        <v>1</v>
      </c>
      <c r="DM4" s="84">
        <v>1</v>
      </c>
      <c r="DN4" s="84">
        <v>1</v>
      </c>
      <c r="DO4" s="84">
        <v>1</v>
      </c>
      <c r="DP4" s="84">
        <v>1</v>
      </c>
      <c r="DQ4" s="84">
        <v>9</v>
      </c>
      <c r="DR4" s="84">
        <v>220</v>
      </c>
      <c r="DS4" s="85">
        <v>580.72132800000009</v>
      </c>
    </row>
    <row r="5" spans="1:124">
      <c r="A5" s="80" t="str">
        <f>VLOOKUP('TaxaLimpeza (Proposta)'!A6,'TaxaLimpeza (Atual)'!A:B,1,FALSE)</f>
        <v>OKA105</v>
      </c>
      <c r="B5" s="75">
        <f>VLOOKUP('TaxaLimpeza (Proposta)'!A6,'TaxaLimpeza (Atual)'!A:B,2,FALSE)-'TaxaLimpeza (Proposta)'!DM6</f>
        <v>-203.77708150000007</v>
      </c>
      <c r="C5" s="75">
        <f>'TaxaLimpeza (Proposta)'!DM6-'TaxaLimpeza (Proposta)'!DM6*0.9</f>
        <v>45.977708150000012</v>
      </c>
      <c r="D5" s="75">
        <f t="shared" si="0"/>
        <v>-157.79937335000005</v>
      </c>
      <c r="F5" s="84" t="s">
        <v>305</v>
      </c>
      <c r="G5" s="84" t="str">
        <v>OKA101</v>
      </c>
      <c r="H5" s="84" t="str">
        <v>Campeche</v>
      </c>
      <c r="I5" s="84" t="str">
        <v>Florianópolis</v>
      </c>
      <c r="J5" s="84" t="str">
        <v>SC</v>
      </c>
      <c r="K5" s="84" t="str">
        <v>Ativo</v>
      </c>
      <c r="L5" s="84">
        <v>2</v>
      </c>
      <c r="M5" s="84">
        <v>0.24</v>
      </c>
      <c r="N5" s="84">
        <v>2.7519999999999998</v>
      </c>
      <c r="O5" s="84">
        <v>1.3209599999999999</v>
      </c>
      <c r="P5" s="84">
        <v>2</v>
      </c>
      <c r="Q5" s="84">
        <v>0.16</v>
      </c>
      <c r="R5" s="84">
        <v>3.5345</v>
      </c>
      <c r="S5" s="84">
        <v>1.13104</v>
      </c>
      <c r="T5" s="84">
        <v>0</v>
      </c>
      <c r="U5" s="84">
        <v>0</v>
      </c>
      <c r="V5" s="84">
        <v>0</v>
      </c>
      <c r="W5" s="84">
        <v>0</v>
      </c>
      <c r="X5" s="84">
        <v>7</v>
      </c>
      <c r="Y5" s="84">
        <v>0.39</v>
      </c>
      <c r="Z5" s="84">
        <v>4.7865000000000002</v>
      </c>
      <c r="AA5" s="84">
        <v>13.067145</v>
      </c>
      <c r="AB5" s="84">
        <v>0</v>
      </c>
      <c r="AC5" s="84">
        <v>0</v>
      </c>
      <c r="AD5" s="84">
        <v>0</v>
      </c>
      <c r="AE5" s="84">
        <v>0</v>
      </c>
      <c r="AF5" s="84">
        <v>0</v>
      </c>
      <c r="AG5" s="84">
        <v>0</v>
      </c>
      <c r="AH5" s="84">
        <v>0</v>
      </c>
      <c r="AI5" s="84">
        <v>0</v>
      </c>
      <c r="AJ5" s="84">
        <v>1</v>
      </c>
      <c r="AK5" s="84">
        <v>1.01</v>
      </c>
      <c r="AL5" s="84">
        <v>9.3249999999999993</v>
      </c>
      <c r="AM5" s="84">
        <v>9.4182499999999987</v>
      </c>
      <c r="AN5" s="84">
        <v>2</v>
      </c>
      <c r="AO5" s="84">
        <v>0.3</v>
      </c>
      <c r="AP5" s="84">
        <v>6.1950000000000003</v>
      </c>
      <c r="AQ5" s="84">
        <v>3.7170000000000001</v>
      </c>
      <c r="AR5" s="84">
        <v>0</v>
      </c>
      <c r="AS5" s="84">
        <v>0</v>
      </c>
      <c r="AT5" s="84">
        <v>0</v>
      </c>
      <c r="AU5" s="84">
        <v>0</v>
      </c>
      <c r="AV5" s="84">
        <v>0</v>
      </c>
      <c r="AW5" s="84">
        <v>0</v>
      </c>
      <c r="AX5" s="84">
        <v>0</v>
      </c>
      <c r="AY5" s="84">
        <v>0</v>
      </c>
      <c r="AZ5" s="84">
        <v>6</v>
      </c>
      <c r="BA5" s="84">
        <v>0.3</v>
      </c>
      <c r="BB5" s="84">
        <v>6.9774999999999991</v>
      </c>
      <c r="BC5" s="84">
        <v>12.5595</v>
      </c>
      <c r="BD5" s="84">
        <v>7</v>
      </c>
      <c r="BE5" s="84">
        <v>0.19</v>
      </c>
      <c r="BF5" s="84">
        <v>3.0649999999999999</v>
      </c>
      <c r="BG5" s="84">
        <v>4.0764500000000004</v>
      </c>
      <c r="BH5" s="84">
        <v>0</v>
      </c>
      <c r="BI5" s="84">
        <v>0</v>
      </c>
      <c r="BJ5" s="84">
        <v>0</v>
      </c>
      <c r="BK5" s="84">
        <v>0</v>
      </c>
      <c r="BL5" s="84">
        <v>0</v>
      </c>
      <c r="BM5" s="84">
        <v>0</v>
      </c>
      <c r="BN5" s="84">
        <v>0</v>
      </c>
      <c r="BO5" s="84">
        <v>0</v>
      </c>
      <c r="BP5" s="84">
        <v>0</v>
      </c>
      <c r="BQ5" s="84">
        <v>0</v>
      </c>
      <c r="BR5" s="84">
        <v>0</v>
      </c>
      <c r="BS5" s="84">
        <v>0</v>
      </c>
      <c r="BT5" s="84">
        <v>3</v>
      </c>
      <c r="BU5" s="84">
        <v>1.1100000000000001</v>
      </c>
      <c r="BV5" s="84">
        <v>41.7575</v>
      </c>
      <c r="BW5" s="84">
        <v>139.05247500000002</v>
      </c>
      <c r="BX5" s="84">
        <v>0</v>
      </c>
      <c r="BY5" s="84">
        <v>0</v>
      </c>
      <c r="BZ5" s="84">
        <v>0</v>
      </c>
      <c r="CA5" s="84">
        <v>0</v>
      </c>
      <c r="CB5" s="84">
        <v>0</v>
      </c>
      <c r="CC5" s="84">
        <v>0</v>
      </c>
      <c r="CD5" s="84">
        <v>0</v>
      </c>
      <c r="CE5" s="84">
        <v>0</v>
      </c>
      <c r="CF5" s="84">
        <v>0</v>
      </c>
      <c r="CG5" s="84">
        <v>0</v>
      </c>
      <c r="CH5" s="84">
        <v>0</v>
      </c>
      <c r="CI5" s="84">
        <v>0</v>
      </c>
      <c r="CJ5" s="84">
        <v>0</v>
      </c>
      <c r="CK5" s="84">
        <v>0</v>
      </c>
      <c r="CL5" s="84">
        <v>0</v>
      </c>
      <c r="CM5" s="84">
        <v>0</v>
      </c>
      <c r="CN5" s="84">
        <v>0</v>
      </c>
      <c r="CO5" s="84">
        <v>0</v>
      </c>
      <c r="CP5" s="84">
        <v>0</v>
      </c>
      <c r="CQ5" s="84">
        <v>0</v>
      </c>
      <c r="CR5" s="84">
        <v>0</v>
      </c>
      <c r="CS5" s="84">
        <v>0</v>
      </c>
      <c r="CT5" s="84">
        <v>0</v>
      </c>
      <c r="CU5" s="84">
        <v>0</v>
      </c>
      <c r="CV5" s="84">
        <v>0</v>
      </c>
      <c r="CW5" s="84">
        <v>0</v>
      </c>
      <c r="CX5" s="84">
        <v>0</v>
      </c>
      <c r="CY5" s="84">
        <v>0</v>
      </c>
      <c r="CZ5" s="84">
        <v>3</v>
      </c>
      <c r="DA5" s="84">
        <v>1.56</v>
      </c>
      <c r="DB5" s="84">
        <v>16.457000000000001</v>
      </c>
      <c r="DC5" s="84">
        <v>77.01876</v>
      </c>
      <c r="DD5" s="84">
        <v>261.36158</v>
      </c>
      <c r="DE5" s="84">
        <v>0.5</v>
      </c>
      <c r="DF5" s="84">
        <v>4</v>
      </c>
      <c r="DG5" s="84">
        <v>1.5</v>
      </c>
      <c r="DH5" s="84">
        <v>1.5</v>
      </c>
      <c r="DI5" s="84">
        <v>7.5</v>
      </c>
      <c r="DJ5" s="84">
        <v>2</v>
      </c>
      <c r="DK5" s="84">
        <v>2</v>
      </c>
      <c r="DL5" s="84">
        <v>1</v>
      </c>
      <c r="DM5" s="84">
        <v>1</v>
      </c>
      <c r="DN5" s="84">
        <v>1</v>
      </c>
      <c r="DO5" s="84">
        <v>1</v>
      </c>
      <c r="DP5" s="84">
        <v>1</v>
      </c>
      <c r="DQ5" s="84">
        <v>9</v>
      </c>
      <c r="DR5" s="84">
        <v>220</v>
      </c>
      <c r="DS5" s="85">
        <v>547.647738</v>
      </c>
    </row>
    <row r="6" spans="1:124">
      <c r="A6" s="80" t="str">
        <f>VLOOKUP('TaxaLimpeza (Proposta)'!A7,'TaxaLimpeza (Atual)'!A:B,1,FALSE)</f>
        <v>OKA106</v>
      </c>
      <c r="B6" s="75">
        <f>VLOOKUP('TaxaLimpeza (Proposta)'!A7,'TaxaLimpeza (Atual)'!A:B,2,FALSE)-'TaxaLimpeza (Proposta)'!DM7</f>
        <v>-379.49823349999997</v>
      </c>
      <c r="C6" s="75">
        <f>'TaxaLimpeza (Proposta)'!DM7-'TaxaLimpeza (Proposta)'!DM7*0.9</f>
        <v>63.349823349999951</v>
      </c>
      <c r="D6" s="75">
        <f t="shared" si="0"/>
        <v>-316.14841015000002</v>
      </c>
      <c r="F6" s="84" t="s">
        <v>306</v>
      </c>
      <c r="G6" s="84" t="str">
        <v>OKA224</v>
      </c>
      <c r="H6" s="84" t="str">
        <v>Campeche</v>
      </c>
      <c r="I6" s="84" t="str">
        <v>Florianópolis</v>
      </c>
      <c r="J6" s="84" t="str">
        <v>SC</v>
      </c>
      <c r="K6" s="84" t="str">
        <v>Ativo</v>
      </c>
      <c r="L6" s="84">
        <v>2</v>
      </c>
      <c r="M6" s="84">
        <v>0.24</v>
      </c>
      <c r="N6" s="84">
        <v>2.7519999999999998</v>
      </c>
      <c r="O6" s="84">
        <v>1.3209599999999999</v>
      </c>
      <c r="P6" s="84">
        <v>2</v>
      </c>
      <c r="Q6" s="84">
        <v>0.16</v>
      </c>
      <c r="R6" s="84">
        <v>3.5345</v>
      </c>
      <c r="S6" s="84">
        <v>1.13104</v>
      </c>
      <c r="T6" s="84">
        <v>0</v>
      </c>
      <c r="U6" s="84">
        <v>0</v>
      </c>
      <c r="V6" s="84">
        <v>0</v>
      </c>
      <c r="W6" s="84">
        <v>0</v>
      </c>
      <c r="X6" s="84">
        <v>6</v>
      </c>
      <c r="Y6" s="84">
        <v>0.39</v>
      </c>
      <c r="Z6" s="84">
        <v>4.7865000000000002</v>
      </c>
      <c r="AA6" s="84">
        <v>11.20041</v>
      </c>
      <c r="AB6" s="84">
        <v>0</v>
      </c>
      <c r="AC6" s="84">
        <v>0</v>
      </c>
      <c r="AD6" s="84">
        <v>0</v>
      </c>
      <c r="AE6" s="84">
        <v>0</v>
      </c>
      <c r="AF6" s="84">
        <v>0</v>
      </c>
      <c r="AG6" s="84">
        <v>0</v>
      </c>
      <c r="AH6" s="84">
        <v>0</v>
      </c>
      <c r="AI6" s="84">
        <v>0</v>
      </c>
      <c r="AJ6" s="84">
        <v>2</v>
      </c>
      <c r="AK6" s="84">
        <v>1.01</v>
      </c>
      <c r="AL6" s="84">
        <v>9.3249999999999993</v>
      </c>
      <c r="AM6" s="84">
        <v>18.836499999999997</v>
      </c>
      <c r="AN6" s="84">
        <v>4</v>
      </c>
      <c r="AO6" s="84">
        <v>0.3</v>
      </c>
      <c r="AP6" s="84">
        <v>6.1950000000000003</v>
      </c>
      <c r="AQ6" s="84">
        <v>7.4340000000000002</v>
      </c>
      <c r="AR6" s="84">
        <v>2</v>
      </c>
      <c r="AS6" s="84">
        <v>0.3</v>
      </c>
      <c r="AT6" s="84">
        <v>8.5425000000000004</v>
      </c>
      <c r="AU6" s="84">
        <v>5.1254999999999997</v>
      </c>
      <c r="AV6" s="84">
        <v>0</v>
      </c>
      <c r="AW6" s="84">
        <v>0</v>
      </c>
      <c r="AX6" s="84">
        <v>0</v>
      </c>
      <c r="AY6" s="84">
        <v>0</v>
      </c>
      <c r="AZ6" s="84">
        <v>2</v>
      </c>
      <c r="BA6" s="84">
        <v>0.3</v>
      </c>
      <c r="BB6" s="84">
        <v>6.9774999999999991</v>
      </c>
      <c r="BC6" s="84">
        <v>4.1864999999999997</v>
      </c>
      <c r="BD6" s="84">
        <v>6</v>
      </c>
      <c r="BE6" s="84">
        <v>0.19</v>
      </c>
      <c r="BF6" s="84">
        <v>3.0649999999999999</v>
      </c>
      <c r="BG6" s="84">
        <v>3.4941000000000004</v>
      </c>
      <c r="BH6" s="84">
        <v>0</v>
      </c>
      <c r="BI6" s="84">
        <v>0</v>
      </c>
      <c r="BJ6" s="84">
        <v>0</v>
      </c>
      <c r="BK6" s="84">
        <v>0</v>
      </c>
      <c r="BL6" s="84">
        <v>1</v>
      </c>
      <c r="BM6" s="84">
        <v>2.62</v>
      </c>
      <c r="BN6" s="84">
        <v>41.7575</v>
      </c>
      <c r="BO6" s="84">
        <v>109.40465</v>
      </c>
      <c r="BP6" s="84">
        <v>0</v>
      </c>
      <c r="BQ6" s="84">
        <v>0</v>
      </c>
      <c r="BR6" s="84">
        <v>0</v>
      </c>
      <c r="BS6" s="84">
        <v>0</v>
      </c>
      <c r="BT6" s="84">
        <v>1</v>
      </c>
      <c r="BU6" s="84">
        <v>1.1100000000000001</v>
      </c>
      <c r="BV6" s="84">
        <v>41.7575</v>
      </c>
      <c r="BW6" s="84">
        <v>46.350825000000007</v>
      </c>
      <c r="BX6" s="84">
        <v>0</v>
      </c>
      <c r="BY6" s="84">
        <v>0</v>
      </c>
      <c r="BZ6" s="84">
        <v>0</v>
      </c>
      <c r="CA6" s="84">
        <v>0</v>
      </c>
      <c r="CB6" s="84">
        <v>0</v>
      </c>
      <c r="CC6" s="84">
        <v>0</v>
      </c>
      <c r="CD6" s="84">
        <v>0</v>
      </c>
      <c r="CE6" s="84">
        <v>0</v>
      </c>
      <c r="CF6" s="84">
        <v>0</v>
      </c>
      <c r="CG6" s="84">
        <v>0</v>
      </c>
      <c r="CH6" s="84">
        <v>0</v>
      </c>
      <c r="CI6" s="84">
        <v>0</v>
      </c>
      <c r="CJ6" s="84">
        <v>0</v>
      </c>
      <c r="CK6" s="84">
        <v>0</v>
      </c>
      <c r="CL6" s="84">
        <v>0</v>
      </c>
      <c r="CM6" s="84">
        <v>0</v>
      </c>
      <c r="CN6" s="84">
        <v>0</v>
      </c>
      <c r="CO6" s="84">
        <v>0</v>
      </c>
      <c r="CP6" s="84">
        <v>0</v>
      </c>
      <c r="CQ6" s="84">
        <v>0</v>
      </c>
      <c r="CR6" s="84">
        <v>1</v>
      </c>
      <c r="CS6" s="84">
        <v>1.56</v>
      </c>
      <c r="CT6" s="84">
        <v>16.457000000000001</v>
      </c>
      <c r="CU6" s="84">
        <v>25.672920000000001</v>
      </c>
      <c r="CV6" s="84">
        <v>0</v>
      </c>
      <c r="CW6" s="84">
        <v>0</v>
      </c>
      <c r="CX6" s="84">
        <v>0</v>
      </c>
      <c r="CY6" s="84">
        <v>0</v>
      </c>
      <c r="CZ6" s="84">
        <v>1</v>
      </c>
      <c r="DA6" s="84">
        <v>1.56</v>
      </c>
      <c r="DB6" s="84">
        <v>16.457000000000001</v>
      </c>
      <c r="DC6" s="84">
        <v>25.672920000000001</v>
      </c>
      <c r="DD6" s="84">
        <v>259.83032500000002</v>
      </c>
      <c r="DE6" s="84">
        <v>0.5</v>
      </c>
      <c r="DF6" s="84">
        <v>4</v>
      </c>
      <c r="DG6" s="84">
        <v>1.5</v>
      </c>
      <c r="DH6" s="84">
        <v>1.5</v>
      </c>
      <c r="DI6" s="84">
        <v>7.5</v>
      </c>
      <c r="DJ6" s="84">
        <v>2</v>
      </c>
      <c r="DK6" s="84">
        <v>2</v>
      </c>
      <c r="DL6" s="84">
        <v>1</v>
      </c>
      <c r="DM6" s="84">
        <v>1</v>
      </c>
      <c r="DN6" s="84">
        <v>1</v>
      </c>
      <c r="DO6" s="84">
        <v>1</v>
      </c>
      <c r="DP6" s="84">
        <v>1</v>
      </c>
      <c r="DQ6" s="84">
        <v>9</v>
      </c>
      <c r="DR6" s="84">
        <v>220</v>
      </c>
      <c r="DS6" s="85">
        <v>545.96335750000003</v>
      </c>
    </row>
    <row r="7" spans="1:124">
      <c r="A7" s="80" t="str">
        <f>VLOOKUP('TaxaLimpeza (Proposta)'!A8,'TaxaLimpeza (Atual)'!A:B,1,FALSE)</f>
        <v>OKA110</v>
      </c>
      <c r="B7" s="75">
        <f>VLOOKUP('TaxaLimpeza (Proposta)'!A8,'TaxaLimpeza (Atual)'!A:B,2,FALSE)-'TaxaLimpeza (Proposta)'!DM8</f>
        <v>-181.78029900000001</v>
      </c>
      <c r="C7" s="75">
        <f>'TaxaLimpeza (Proposta)'!DM8-'TaxaLimpeza (Proposta)'!DM8*0.9</f>
        <v>43.778029899999979</v>
      </c>
      <c r="D7" s="75">
        <f t="shared" si="0"/>
        <v>-138.00226910000003</v>
      </c>
      <c r="F7" s="84" t="s">
        <v>307</v>
      </c>
      <c r="G7" s="84" t="str">
        <v>OKA120</v>
      </c>
      <c r="H7" s="84" t="str">
        <v>Campeche</v>
      </c>
      <c r="I7" s="84" t="str">
        <v>Florianópolis</v>
      </c>
      <c r="J7" s="84" t="str">
        <v>SC</v>
      </c>
      <c r="K7" s="84" t="str">
        <v>Ativo</v>
      </c>
      <c r="L7" s="84">
        <v>2</v>
      </c>
      <c r="M7" s="84">
        <v>0.24</v>
      </c>
      <c r="N7" s="84">
        <v>2.7519999999999998</v>
      </c>
      <c r="O7" s="84">
        <v>1.3209599999999999</v>
      </c>
      <c r="P7" s="84">
        <v>2</v>
      </c>
      <c r="Q7" s="84">
        <v>0.16</v>
      </c>
      <c r="R7" s="84">
        <v>3.5345</v>
      </c>
      <c r="S7" s="84">
        <v>1.13104</v>
      </c>
      <c r="T7" s="84">
        <v>0</v>
      </c>
      <c r="U7" s="84">
        <v>0</v>
      </c>
      <c r="V7" s="84">
        <v>0</v>
      </c>
      <c r="W7" s="84">
        <v>0</v>
      </c>
      <c r="X7" s="84">
        <v>6</v>
      </c>
      <c r="Y7" s="84">
        <v>0.39</v>
      </c>
      <c r="Z7" s="84">
        <v>4.7865000000000002</v>
      </c>
      <c r="AA7" s="84">
        <v>11.20041</v>
      </c>
      <c r="AB7" s="84">
        <v>0</v>
      </c>
      <c r="AC7" s="84">
        <v>0</v>
      </c>
      <c r="AD7" s="84">
        <v>0</v>
      </c>
      <c r="AE7" s="84">
        <v>0</v>
      </c>
      <c r="AF7" s="84">
        <v>0</v>
      </c>
      <c r="AG7" s="84">
        <v>0</v>
      </c>
      <c r="AH7" s="84">
        <v>0</v>
      </c>
      <c r="AI7" s="84">
        <v>0</v>
      </c>
      <c r="AJ7" s="84">
        <v>0</v>
      </c>
      <c r="AK7" s="84">
        <v>0</v>
      </c>
      <c r="AL7" s="84">
        <v>0</v>
      </c>
      <c r="AM7" s="84">
        <v>0</v>
      </c>
      <c r="AN7" s="84">
        <v>0</v>
      </c>
      <c r="AO7" s="84">
        <v>0</v>
      </c>
      <c r="AP7" s="84">
        <v>0</v>
      </c>
      <c r="AQ7" s="84">
        <v>0</v>
      </c>
      <c r="AR7" s="84">
        <v>0</v>
      </c>
      <c r="AS7" s="84">
        <v>0</v>
      </c>
      <c r="AT7" s="84">
        <v>0</v>
      </c>
      <c r="AU7" s="84">
        <v>0</v>
      </c>
      <c r="AV7" s="84">
        <v>0</v>
      </c>
      <c r="AW7" s="84">
        <v>0</v>
      </c>
      <c r="AX7" s="84">
        <v>0</v>
      </c>
      <c r="AY7" s="84">
        <v>0</v>
      </c>
      <c r="AZ7" s="84">
        <v>6</v>
      </c>
      <c r="BA7" s="84">
        <v>0.3</v>
      </c>
      <c r="BB7" s="84">
        <v>6.9774999999999991</v>
      </c>
      <c r="BC7" s="84">
        <v>12.5595</v>
      </c>
      <c r="BD7" s="84">
        <v>6</v>
      </c>
      <c r="BE7" s="84">
        <v>0.19</v>
      </c>
      <c r="BF7" s="84">
        <v>3.0649999999999999</v>
      </c>
      <c r="BG7" s="84">
        <v>3.4941000000000004</v>
      </c>
      <c r="BH7" s="84">
        <v>0</v>
      </c>
      <c r="BI7" s="84">
        <v>0</v>
      </c>
      <c r="BJ7" s="84">
        <v>0</v>
      </c>
      <c r="BK7" s="84">
        <v>0</v>
      </c>
      <c r="BL7" s="84">
        <v>0</v>
      </c>
      <c r="BM7" s="84">
        <v>0</v>
      </c>
      <c r="BN7" s="84">
        <v>0</v>
      </c>
      <c r="BO7" s="84">
        <v>0</v>
      </c>
      <c r="BP7" s="84">
        <v>0</v>
      </c>
      <c r="BQ7" s="84">
        <v>0</v>
      </c>
      <c r="BR7" s="84">
        <v>0</v>
      </c>
      <c r="BS7" s="84">
        <v>0</v>
      </c>
      <c r="BT7" s="84">
        <v>3</v>
      </c>
      <c r="BU7" s="84">
        <v>1.1100000000000001</v>
      </c>
      <c r="BV7" s="84">
        <v>41.7575</v>
      </c>
      <c r="BW7" s="84">
        <v>139.05247500000002</v>
      </c>
      <c r="BX7" s="84">
        <v>0</v>
      </c>
      <c r="BY7" s="84">
        <v>0</v>
      </c>
      <c r="BZ7" s="84">
        <v>0</v>
      </c>
      <c r="CA7" s="84">
        <v>0</v>
      </c>
      <c r="CB7" s="84">
        <v>0</v>
      </c>
      <c r="CC7" s="84">
        <v>0</v>
      </c>
      <c r="CD7" s="84">
        <v>0</v>
      </c>
      <c r="CE7" s="84">
        <v>0</v>
      </c>
      <c r="CF7" s="84">
        <v>0</v>
      </c>
      <c r="CG7" s="84">
        <v>0</v>
      </c>
      <c r="CH7" s="84">
        <v>0</v>
      </c>
      <c r="CI7" s="84">
        <v>0</v>
      </c>
      <c r="CJ7" s="84">
        <v>0</v>
      </c>
      <c r="CK7" s="84">
        <v>0</v>
      </c>
      <c r="CL7" s="84">
        <v>0</v>
      </c>
      <c r="CM7" s="84">
        <v>0</v>
      </c>
      <c r="CN7" s="84">
        <v>0</v>
      </c>
      <c r="CO7" s="84">
        <v>0</v>
      </c>
      <c r="CP7" s="84">
        <v>0</v>
      </c>
      <c r="CQ7" s="84">
        <v>0</v>
      </c>
      <c r="CR7" s="84">
        <v>0</v>
      </c>
      <c r="CS7" s="84">
        <v>0</v>
      </c>
      <c r="CT7" s="84">
        <v>0</v>
      </c>
      <c r="CU7" s="84">
        <v>0</v>
      </c>
      <c r="CV7" s="84">
        <v>0</v>
      </c>
      <c r="CW7" s="84">
        <v>0</v>
      </c>
      <c r="CX7" s="84">
        <v>0</v>
      </c>
      <c r="CY7" s="84">
        <v>0</v>
      </c>
      <c r="CZ7" s="84">
        <v>3</v>
      </c>
      <c r="DA7" s="84">
        <v>1.56</v>
      </c>
      <c r="DB7" s="84">
        <v>16.457000000000001</v>
      </c>
      <c r="DC7" s="84">
        <v>77.01876</v>
      </c>
      <c r="DD7" s="84">
        <v>245.77724499999999</v>
      </c>
      <c r="DE7" s="84">
        <v>0.5</v>
      </c>
      <c r="DF7" s="84">
        <v>4</v>
      </c>
      <c r="DG7" s="84">
        <v>1.5</v>
      </c>
      <c r="DH7" s="84">
        <v>1.5</v>
      </c>
      <c r="DI7" s="84">
        <v>7.5</v>
      </c>
      <c r="DJ7" s="84">
        <v>2</v>
      </c>
      <c r="DK7" s="84">
        <v>2</v>
      </c>
      <c r="DL7" s="84">
        <v>1</v>
      </c>
      <c r="DM7" s="84">
        <v>1</v>
      </c>
      <c r="DN7" s="84">
        <v>1</v>
      </c>
      <c r="DO7" s="84">
        <v>1</v>
      </c>
      <c r="DP7" s="84">
        <v>1</v>
      </c>
      <c r="DQ7" s="84">
        <v>9</v>
      </c>
      <c r="DR7" s="84">
        <v>220</v>
      </c>
      <c r="DS7" s="85">
        <v>530.50496950000002</v>
      </c>
    </row>
    <row r="8" spans="1:124">
      <c r="A8" s="80" t="str">
        <f>VLOOKUP('TaxaLimpeza (Proposta)'!A9,'TaxaLimpeza (Atual)'!A:B,1,FALSE)</f>
        <v>OKA111</v>
      </c>
      <c r="B8" s="75">
        <f>VLOOKUP('TaxaLimpeza (Proposta)'!A9,'TaxaLimpeza (Atual)'!A:B,2,FALSE)-'TaxaLimpeza (Proposta)'!DM9</f>
        <v>-147.49476200000004</v>
      </c>
      <c r="C8" s="75">
        <f>'TaxaLimpeza (Proposta)'!DM9-'TaxaLimpeza (Proposta)'!DM9*0.9</f>
        <v>40.34947619999997</v>
      </c>
      <c r="D8" s="75">
        <f t="shared" si="0"/>
        <v>-107.14528580000007</v>
      </c>
      <c r="F8" s="84" t="s">
        <v>308</v>
      </c>
      <c r="G8" s="84" t="str">
        <v>OKA210</v>
      </c>
      <c r="H8" s="84" t="str">
        <v>Campeche</v>
      </c>
      <c r="I8" s="84" t="str">
        <v>Florianópolis</v>
      </c>
      <c r="J8" s="84" t="str">
        <v>SC</v>
      </c>
      <c r="K8" s="84" t="str">
        <v>Ativo</v>
      </c>
      <c r="L8" s="84">
        <v>2</v>
      </c>
      <c r="M8" s="84">
        <v>0.24</v>
      </c>
      <c r="N8" s="84">
        <v>2.7519999999999998</v>
      </c>
      <c r="O8" s="84">
        <v>1.3209599999999999</v>
      </c>
      <c r="P8" s="84">
        <v>2</v>
      </c>
      <c r="Q8" s="84">
        <v>0.16</v>
      </c>
      <c r="R8" s="84">
        <v>3.5345</v>
      </c>
      <c r="S8" s="84">
        <v>1.13104</v>
      </c>
      <c r="T8" s="84">
        <v>0</v>
      </c>
      <c r="U8" s="84">
        <v>0</v>
      </c>
      <c r="V8" s="84">
        <v>0</v>
      </c>
      <c r="W8" s="84">
        <v>0</v>
      </c>
      <c r="X8" s="84">
        <v>6</v>
      </c>
      <c r="Y8" s="84">
        <v>0.39</v>
      </c>
      <c r="Z8" s="84">
        <v>4.7865000000000002</v>
      </c>
      <c r="AA8" s="84">
        <v>11.20041</v>
      </c>
      <c r="AB8" s="84">
        <v>0</v>
      </c>
      <c r="AC8" s="84">
        <v>0</v>
      </c>
      <c r="AD8" s="84">
        <v>0</v>
      </c>
      <c r="AE8" s="84">
        <v>0</v>
      </c>
      <c r="AF8" s="84">
        <v>0</v>
      </c>
      <c r="AG8" s="84">
        <v>0</v>
      </c>
      <c r="AH8" s="84">
        <v>0</v>
      </c>
      <c r="AI8" s="84">
        <v>0</v>
      </c>
      <c r="AJ8" s="84">
        <v>4</v>
      </c>
      <c r="AK8" s="84">
        <v>1.01</v>
      </c>
      <c r="AL8" s="84">
        <v>9.3249999999999993</v>
      </c>
      <c r="AM8" s="84">
        <v>37.672999999999995</v>
      </c>
      <c r="AN8" s="84">
        <v>8</v>
      </c>
      <c r="AO8" s="84">
        <v>0.3</v>
      </c>
      <c r="AP8" s="84">
        <v>6.1950000000000003</v>
      </c>
      <c r="AQ8" s="84">
        <v>14.868</v>
      </c>
      <c r="AR8" s="84">
        <v>2</v>
      </c>
      <c r="AS8" s="84">
        <v>0.3</v>
      </c>
      <c r="AT8" s="84">
        <v>8.5425000000000004</v>
      </c>
      <c r="AU8" s="84">
        <v>5.1254999999999997</v>
      </c>
      <c r="AV8" s="84">
        <v>0</v>
      </c>
      <c r="AW8" s="84">
        <v>0</v>
      </c>
      <c r="AX8" s="84">
        <v>0</v>
      </c>
      <c r="AY8" s="84">
        <v>0</v>
      </c>
      <c r="AZ8" s="84">
        <v>0</v>
      </c>
      <c r="BA8" s="84">
        <v>0</v>
      </c>
      <c r="BB8" s="84">
        <v>0</v>
      </c>
      <c r="BC8" s="84">
        <v>0</v>
      </c>
      <c r="BD8" s="84">
        <v>6</v>
      </c>
      <c r="BE8" s="84">
        <v>0.19</v>
      </c>
      <c r="BF8" s="84">
        <v>3.0649999999999999</v>
      </c>
      <c r="BG8" s="84">
        <v>3.4941000000000004</v>
      </c>
      <c r="BH8" s="84">
        <v>0</v>
      </c>
      <c r="BI8" s="84">
        <v>0</v>
      </c>
      <c r="BJ8" s="84">
        <v>0</v>
      </c>
      <c r="BK8" s="84">
        <v>0</v>
      </c>
      <c r="BL8" s="84">
        <v>1</v>
      </c>
      <c r="BM8" s="84">
        <v>2.62</v>
      </c>
      <c r="BN8" s="84">
        <v>41.7575</v>
      </c>
      <c r="BO8" s="84">
        <v>109.40465</v>
      </c>
      <c r="BP8" s="84">
        <v>0</v>
      </c>
      <c r="BQ8" s="84">
        <v>0</v>
      </c>
      <c r="BR8" s="84">
        <v>0</v>
      </c>
      <c r="BS8" s="84">
        <v>0</v>
      </c>
      <c r="BT8" s="84">
        <v>0</v>
      </c>
      <c r="BU8" s="84">
        <v>0</v>
      </c>
      <c r="BV8" s="84">
        <v>0</v>
      </c>
      <c r="BW8" s="84">
        <v>0</v>
      </c>
      <c r="BX8" s="84">
        <v>0</v>
      </c>
      <c r="BY8" s="84">
        <v>0</v>
      </c>
      <c r="BZ8" s="84">
        <v>0</v>
      </c>
      <c r="CA8" s="84">
        <v>0</v>
      </c>
      <c r="CB8" s="84">
        <v>0</v>
      </c>
      <c r="CC8" s="84">
        <v>0</v>
      </c>
      <c r="CD8" s="84">
        <v>0</v>
      </c>
      <c r="CE8" s="84">
        <v>0</v>
      </c>
      <c r="CF8" s="84">
        <v>0</v>
      </c>
      <c r="CG8" s="84">
        <v>0</v>
      </c>
      <c r="CH8" s="84">
        <v>0</v>
      </c>
      <c r="CI8" s="84">
        <v>0</v>
      </c>
      <c r="CJ8" s="84">
        <v>0</v>
      </c>
      <c r="CK8" s="84">
        <v>0</v>
      </c>
      <c r="CL8" s="84">
        <v>0</v>
      </c>
      <c r="CM8" s="84">
        <v>0</v>
      </c>
      <c r="CN8" s="84">
        <v>0</v>
      </c>
      <c r="CO8" s="84">
        <v>0</v>
      </c>
      <c r="CP8" s="84">
        <v>0</v>
      </c>
      <c r="CQ8" s="84">
        <v>0</v>
      </c>
      <c r="CR8" s="84">
        <v>1</v>
      </c>
      <c r="CS8" s="84">
        <v>1.56</v>
      </c>
      <c r="CT8" s="84">
        <v>16.457000000000001</v>
      </c>
      <c r="CU8" s="84">
        <v>25.672920000000001</v>
      </c>
      <c r="CV8" s="84">
        <v>0</v>
      </c>
      <c r="CW8" s="84">
        <v>0</v>
      </c>
      <c r="CX8" s="84">
        <v>0</v>
      </c>
      <c r="CY8" s="84">
        <v>0</v>
      </c>
      <c r="CZ8" s="84">
        <v>0</v>
      </c>
      <c r="DA8" s="84">
        <v>0</v>
      </c>
      <c r="DB8" s="84">
        <v>0</v>
      </c>
      <c r="DC8" s="84">
        <v>0</v>
      </c>
      <c r="DD8" s="84">
        <v>209.89058</v>
      </c>
      <c r="DE8" s="84">
        <v>0.5</v>
      </c>
      <c r="DF8" s="84">
        <v>4</v>
      </c>
      <c r="DG8" s="84">
        <v>1.5</v>
      </c>
      <c r="DH8" s="84">
        <v>1.5</v>
      </c>
      <c r="DI8" s="84">
        <v>7.5</v>
      </c>
      <c r="DJ8" s="84">
        <v>2</v>
      </c>
      <c r="DK8" s="84">
        <v>2</v>
      </c>
      <c r="DL8" s="84">
        <v>1</v>
      </c>
      <c r="DM8" s="84">
        <v>1</v>
      </c>
      <c r="DN8" s="84">
        <v>1</v>
      </c>
      <c r="DO8" s="84">
        <v>1</v>
      </c>
      <c r="DP8" s="84">
        <v>1</v>
      </c>
      <c r="DQ8" s="84">
        <v>9</v>
      </c>
      <c r="DR8" s="84">
        <v>220</v>
      </c>
      <c r="DS8" s="85">
        <v>491.02963800000003</v>
      </c>
    </row>
    <row r="9" spans="1:124">
      <c r="A9" s="80" t="str">
        <f>VLOOKUP('TaxaLimpeza (Proposta)'!A10,'TaxaLimpeza (Atual)'!A:B,1,FALSE)</f>
        <v>OKA120</v>
      </c>
      <c r="B9" s="75">
        <f>VLOOKUP('TaxaLimpeza (Proposta)'!A10,'TaxaLimpeza (Atual)'!A:B,2,FALSE)-'TaxaLimpeza (Proposta)'!DM10</f>
        <v>-230.50496950000002</v>
      </c>
      <c r="C9" s="75">
        <f>'TaxaLimpeza (Proposta)'!DM10-'TaxaLimpeza (Proposta)'!DM10*0.9</f>
        <v>53.050496949999967</v>
      </c>
      <c r="D9" s="75">
        <f t="shared" si="0"/>
        <v>-177.45447255000005</v>
      </c>
      <c r="F9" s="84" t="s">
        <v>309</v>
      </c>
      <c r="G9" s="84" t="str">
        <v>OKA141</v>
      </c>
      <c r="H9" s="84" t="str">
        <v>Campeche</v>
      </c>
      <c r="I9" s="84" t="str">
        <v>Florianópolis</v>
      </c>
      <c r="J9" s="84" t="str">
        <v>SC</v>
      </c>
      <c r="K9" s="84" t="str">
        <v>Ativo</v>
      </c>
      <c r="L9" s="84">
        <v>2</v>
      </c>
      <c r="M9" s="84">
        <v>0.24</v>
      </c>
      <c r="N9" s="84">
        <v>2.7519999999999998</v>
      </c>
      <c r="O9" s="84">
        <v>1.3209599999999999</v>
      </c>
      <c r="P9" s="84">
        <v>2</v>
      </c>
      <c r="Q9" s="84">
        <v>0.16</v>
      </c>
      <c r="R9" s="84">
        <v>3.5345</v>
      </c>
      <c r="S9" s="84">
        <v>1.13104</v>
      </c>
      <c r="T9" s="84">
        <v>0</v>
      </c>
      <c r="U9" s="84">
        <v>0</v>
      </c>
      <c r="V9" s="84">
        <v>0</v>
      </c>
      <c r="W9" s="84">
        <v>0</v>
      </c>
      <c r="X9" s="84">
        <v>5</v>
      </c>
      <c r="Y9" s="84">
        <v>0.39</v>
      </c>
      <c r="Z9" s="84">
        <v>4.7865000000000002</v>
      </c>
      <c r="AA9" s="84">
        <v>9.3336749999999995</v>
      </c>
      <c r="AB9" s="84">
        <v>0</v>
      </c>
      <c r="AC9" s="84">
        <v>0</v>
      </c>
      <c r="AD9" s="84">
        <v>0</v>
      </c>
      <c r="AE9" s="84">
        <v>0</v>
      </c>
      <c r="AF9" s="84">
        <v>0</v>
      </c>
      <c r="AG9" s="84">
        <v>0</v>
      </c>
      <c r="AH9" s="84">
        <v>0</v>
      </c>
      <c r="AI9" s="84">
        <v>0</v>
      </c>
      <c r="AJ9" s="84">
        <v>3</v>
      </c>
      <c r="AK9" s="84">
        <v>1.01</v>
      </c>
      <c r="AL9" s="84">
        <v>9.3249999999999993</v>
      </c>
      <c r="AM9" s="84">
        <v>28.254749999999994</v>
      </c>
      <c r="AN9" s="84">
        <v>6</v>
      </c>
      <c r="AO9" s="84">
        <v>0.3</v>
      </c>
      <c r="AP9" s="84">
        <v>6.1950000000000003</v>
      </c>
      <c r="AQ9" s="84">
        <v>11.151</v>
      </c>
      <c r="AR9" s="84">
        <v>2</v>
      </c>
      <c r="AS9" s="84">
        <v>0.3</v>
      </c>
      <c r="AT9" s="84">
        <v>8.5425000000000004</v>
      </c>
      <c r="AU9" s="84">
        <v>5.1254999999999997</v>
      </c>
      <c r="AV9" s="84">
        <v>0</v>
      </c>
      <c r="AW9" s="84">
        <v>0</v>
      </c>
      <c r="AX9" s="84">
        <v>0</v>
      </c>
      <c r="AY9" s="84">
        <v>0</v>
      </c>
      <c r="AZ9" s="84">
        <v>0</v>
      </c>
      <c r="BA9" s="84">
        <v>0</v>
      </c>
      <c r="BB9" s="84">
        <v>0</v>
      </c>
      <c r="BC9" s="84">
        <v>0</v>
      </c>
      <c r="BD9" s="84">
        <v>5</v>
      </c>
      <c r="BE9" s="84">
        <v>0.19</v>
      </c>
      <c r="BF9" s="84">
        <v>3.0649999999999999</v>
      </c>
      <c r="BG9" s="84">
        <v>2.9117500000000001</v>
      </c>
      <c r="BH9" s="84">
        <v>0</v>
      </c>
      <c r="BI9" s="84">
        <v>0</v>
      </c>
      <c r="BJ9" s="84">
        <v>0</v>
      </c>
      <c r="BK9" s="84">
        <v>0</v>
      </c>
      <c r="BL9" s="84">
        <v>1</v>
      </c>
      <c r="BM9" s="84">
        <v>2.62</v>
      </c>
      <c r="BN9" s="84">
        <v>41.7575</v>
      </c>
      <c r="BO9" s="84">
        <v>109.40465</v>
      </c>
      <c r="BP9" s="84">
        <v>0</v>
      </c>
      <c r="BQ9" s="84">
        <v>0</v>
      </c>
      <c r="BR9" s="84">
        <v>0</v>
      </c>
      <c r="BS9" s="84">
        <v>0</v>
      </c>
      <c r="BT9" s="84">
        <v>0</v>
      </c>
      <c r="BU9" s="84">
        <v>0</v>
      </c>
      <c r="BV9" s="84">
        <v>0</v>
      </c>
      <c r="BW9" s="84">
        <v>0</v>
      </c>
      <c r="BX9" s="84">
        <v>0</v>
      </c>
      <c r="BY9" s="84">
        <v>0</v>
      </c>
      <c r="BZ9" s="84">
        <v>0</v>
      </c>
      <c r="CA9" s="84">
        <v>0</v>
      </c>
      <c r="CB9" s="84">
        <v>0</v>
      </c>
      <c r="CC9" s="84">
        <v>0</v>
      </c>
      <c r="CD9" s="84">
        <v>0</v>
      </c>
      <c r="CE9" s="84">
        <v>0</v>
      </c>
      <c r="CF9" s="84">
        <v>0</v>
      </c>
      <c r="CG9" s="84">
        <v>0</v>
      </c>
      <c r="CH9" s="84">
        <v>0</v>
      </c>
      <c r="CI9" s="84">
        <v>0</v>
      </c>
      <c r="CJ9" s="84">
        <v>0</v>
      </c>
      <c r="CK9" s="84">
        <v>0</v>
      </c>
      <c r="CL9" s="84">
        <v>0</v>
      </c>
      <c r="CM9" s="84">
        <v>0</v>
      </c>
      <c r="CN9" s="84">
        <v>0</v>
      </c>
      <c r="CO9" s="84">
        <v>0</v>
      </c>
      <c r="CP9" s="84">
        <v>0</v>
      </c>
      <c r="CQ9" s="84">
        <v>0</v>
      </c>
      <c r="CR9" s="84">
        <v>1</v>
      </c>
      <c r="CS9" s="84">
        <v>1.56</v>
      </c>
      <c r="CT9" s="84">
        <v>16.457000000000001</v>
      </c>
      <c r="CU9" s="84">
        <v>25.672920000000001</v>
      </c>
      <c r="CV9" s="84">
        <v>0</v>
      </c>
      <c r="CW9" s="84">
        <v>0</v>
      </c>
      <c r="CX9" s="84">
        <v>0</v>
      </c>
      <c r="CY9" s="84">
        <v>0</v>
      </c>
      <c r="CZ9" s="84">
        <v>0</v>
      </c>
      <c r="DA9" s="84">
        <v>0</v>
      </c>
      <c r="DB9" s="84">
        <v>0</v>
      </c>
      <c r="DC9" s="84">
        <v>0</v>
      </c>
      <c r="DD9" s="84">
        <v>194.30624500000002</v>
      </c>
      <c r="DE9" s="84">
        <v>0.5</v>
      </c>
      <c r="DF9" s="84">
        <v>4</v>
      </c>
      <c r="DG9" s="84">
        <v>1.5</v>
      </c>
      <c r="DH9" s="84">
        <v>1.5</v>
      </c>
      <c r="DI9" s="84">
        <v>7.5</v>
      </c>
      <c r="DJ9" s="84">
        <v>2</v>
      </c>
      <c r="DK9" s="84">
        <v>2</v>
      </c>
      <c r="DL9" s="84">
        <v>1</v>
      </c>
      <c r="DM9" s="84">
        <v>1</v>
      </c>
      <c r="DN9" s="84">
        <v>1</v>
      </c>
      <c r="DO9" s="84">
        <v>1</v>
      </c>
      <c r="DP9" s="84">
        <v>1</v>
      </c>
      <c r="DQ9" s="84">
        <v>9</v>
      </c>
      <c r="DR9" s="84">
        <v>220</v>
      </c>
      <c r="DS9" s="85">
        <v>473.88686950000005</v>
      </c>
    </row>
    <row r="10" spans="1:124">
      <c r="A10" s="80" t="str">
        <f>VLOOKUP('TaxaLimpeza (Proposta)'!A11,'TaxaLimpeza (Atual)'!A:B,1,FALSE)</f>
        <v>OKA128</v>
      </c>
      <c r="B10" s="75">
        <f>VLOOKUP('TaxaLimpeza (Proposta)'!A11,'TaxaLimpeza (Atual)'!A:B,2,FALSE)-'TaxaLimpeza (Proposta)'!DM11</f>
        <v>-201.46317600000003</v>
      </c>
      <c r="C10" s="75">
        <f>'TaxaLimpeza (Proposta)'!DM11-'TaxaLimpeza (Proposta)'!DM11*0.9</f>
        <v>44.146317599999975</v>
      </c>
      <c r="D10" s="75">
        <f t="shared" si="0"/>
        <v>-157.31685840000006</v>
      </c>
      <c r="F10" s="84" t="s">
        <v>310</v>
      </c>
      <c r="G10" s="84" t="str">
        <v>OKA105</v>
      </c>
      <c r="H10" s="84" t="str">
        <v>Campeche</v>
      </c>
      <c r="I10" s="84" t="str">
        <v>Florianópolis</v>
      </c>
      <c r="J10" s="84" t="str">
        <v>SC</v>
      </c>
      <c r="K10" s="84" t="str">
        <v>Ativo</v>
      </c>
      <c r="L10" s="84">
        <v>3</v>
      </c>
      <c r="M10" s="84">
        <v>0.24</v>
      </c>
      <c r="N10" s="84">
        <v>2.7519999999999998</v>
      </c>
      <c r="O10" s="84">
        <v>1.9814399999999999</v>
      </c>
      <c r="P10" s="84">
        <v>3</v>
      </c>
      <c r="Q10" s="84">
        <v>0.16</v>
      </c>
      <c r="R10" s="84">
        <v>3.5345</v>
      </c>
      <c r="S10" s="84">
        <v>1.6965600000000001</v>
      </c>
      <c r="T10" s="84">
        <v>0</v>
      </c>
      <c r="U10" s="84">
        <v>0</v>
      </c>
      <c r="V10" s="84">
        <v>0</v>
      </c>
      <c r="W10" s="84">
        <v>0</v>
      </c>
      <c r="X10" s="84">
        <v>5</v>
      </c>
      <c r="Y10" s="84">
        <v>0.39</v>
      </c>
      <c r="Z10" s="84">
        <v>4.7865000000000002</v>
      </c>
      <c r="AA10" s="84">
        <v>9.3336749999999995</v>
      </c>
      <c r="AB10" s="84">
        <v>0</v>
      </c>
      <c r="AC10" s="84">
        <v>0</v>
      </c>
      <c r="AD10" s="84">
        <v>0</v>
      </c>
      <c r="AE10" s="84">
        <v>0</v>
      </c>
      <c r="AF10" s="84">
        <v>0</v>
      </c>
      <c r="AG10" s="84">
        <v>0</v>
      </c>
      <c r="AH10" s="84">
        <v>0</v>
      </c>
      <c r="AI10" s="84">
        <v>0</v>
      </c>
      <c r="AJ10" s="84">
        <v>1</v>
      </c>
      <c r="AK10" s="84">
        <v>1.01</v>
      </c>
      <c r="AL10" s="84">
        <v>9.3249999999999993</v>
      </c>
      <c r="AM10" s="84">
        <v>9.4182499999999987</v>
      </c>
      <c r="AN10" s="84">
        <v>2</v>
      </c>
      <c r="AO10" s="84">
        <v>0.3</v>
      </c>
      <c r="AP10" s="84">
        <v>6.1950000000000003</v>
      </c>
      <c r="AQ10" s="84">
        <v>3.7170000000000001</v>
      </c>
      <c r="AR10" s="84">
        <v>0</v>
      </c>
      <c r="AS10" s="84">
        <v>0</v>
      </c>
      <c r="AT10" s="84">
        <v>0</v>
      </c>
      <c r="AU10" s="84">
        <v>0</v>
      </c>
      <c r="AV10" s="84">
        <v>0</v>
      </c>
      <c r="AW10" s="84">
        <v>0</v>
      </c>
      <c r="AX10" s="84">
        <v>0</v>
      </c>
      <c r="AY10" s="84">
        <v>0</v>
      </c>
      <c r="AZ10" s="84">
        <v>4</v>
      </c>
      <c r="BA10" s="84">
        <v>0.3</v>
      </c>
      <c r="BB10" s="84">
        <v>6.9774999999999991</v>
      </c>
      <c r="BC10" s="84">
        <v>8.3729999999999993</v>
      </c>
      <c r="BD10" s="84">
        <v>5</v>
      </c>
      <c r="BE10" s="84">
        <v>0.19</v>
      </c>
      <c r="BF10" s="84">
        <v>3.0649999999999999</v>
      </c>
      <c r="BG10" s="84">
        <v>2.9117500000000001</v>
      </c>
      <c r="BH10" s="84">
        <v>0</v>
      </c>
      <c r="BI10" s="84">
        <v>0</v>
      </c>
      <c r="BJ10" s="84">
        <v>0</v>
      </c>
      <c r="BK10" s="84">
        <v>0</v>
      </c>
      <c r="BL10" s="84">
        <v>0</v>
      </c>
      <c r="BM10" s="84">
        <v>0</v>
      </c>
      <c r="BN10" s="84">
        <v>0</v>
      </c>
      <c r="BO10" s="84">
        <v>0</v>
      </c>
      <c r="BP10" s="84">
        <v>0</v>
      </c>
      <c r="BQ10" s="84">
        <v>0</v>
      </c>
      <c r="BR10" s="84">
        <v>0</v>
      </c>
      <c r="BS10" s="84">
        <v>0</v>
      </c>
      <c r="BT10" s="84">
        <v>2</v>
      </c>
      <c r="BU10" s="84">
        <v>1.1100000000000001</v>
      </c>
      <c r="BV10" s="84">
        <v>41.7575</v>
      </c>
      <c r="BW10" s="84">
        <v>92.701650000000015</v>
      </c>
      <c r="BX10" s="84">
        <v>0</v>
      </c>
      <c r="BY10" s="84">
        <v>0</v>
      </c>
      <c r="BZ10" s="84">
        <v>0</v>
      </c>
      <c r="CA10" s="84">
        <v>0</v>
      </c>
      <c r="CB10" s="84">
        <v>0</v>
      </c>
      <c r="CC10" s="84">
        <v>0</v>
      </c>
      <c r="CD10" s="84">
        <v>0</v>
      </c>
      <c r="CE10" s="84">
        <v>0</v>
      </c>
      <c r="CF10" s="84">
        <v>0</v>
      </c>
      <c r="CG10" s="84">
        <v>0</v>
      </c>
      <c r="CH10" s="84">
        <v>0</v>
      </c>
      <c r="CI10" s="84">
        <v>0</v>
      </c>
      <c r="CJ10" s="84">
        <v>0</v>
      </c>
      <c r="CK10" s="84">
        <v>0</v>
      </c>
      <c r="CL10" s="84">
        <v>0</v>
      </c>
      <c r="CM10" s="84">
        <v>0</v>
      </c>
      <c r="CN10" s="84">
        <v>0</v>
      </c>
      <c r="CO10" s="84">
        <v>0</v>
      </c>
      <c r="CP10" s="84">
        <v>0</v>
      </c>
      <c r="CQ10" s="84">
        <v>0</v>
      </c>
      <c r="CR10" s="84">
        <v>0</v>
      </c>
      <c r="CS10" s="84">
        <v>0</v>
      </c>
      <c r="CT10" s="84">
        <v>0</v>
      </c>
      <c r="CU10" s="84">
        <v>0</v>
      </c>
      <c r="CV10" s="84">
        <v>0</v>
      </c>
      <c r="CW10" s="84">
        <v>0</v>
      </c>
      <c r="CX10" s="84">
        <v>0</v>
      </c>
      <c r="CY10" s="84">
        <v>0</v>
      </c>
      <c r="CZ10" s="84">
        <v>2</v>
      </c>
      <c r="DA10" s="84">
        <v>1.56</v>
      </c>
      <c r="DB10" s="84">
        <v>16.457000000000001</v>
      </c>
      <c r="DC10" s="84">
        <v>51.345840000000003</v>
      </c>
      <c r="DD10" s="84">
        <v>181.47916500000002</v>
      </c>
      <c r="DE10" s="84">
        <v>0.5</v>
      </c>
      <c r="DF10" s="84">
        <v>4</v>
      </c>
      <c r="DG10" s="84">
        <v>1.5</v>
      </c>
      <c r="DH10" s="84">
        <v>1.5</v>
      </c>
      <c r="DI10" s="84">
        <v>7.5</v>
      </c>
      <c r="DJ10" s="84">
        <v>2</v>
      </c>
      <c r="DK10" s="84">
        <v>2</v>
      </c>
      <c r="DL10" s="84">
        <v>1</v>
      </c>
      <c r="DM10" s="84">
        <v>1</v>
      </c>
      <c r="DN10" s="84">
        <v>1</v>
      </c>
      <c r="DO10" s="84">
        <v>1</v>
      </c>
      <c r="DP10" s="84">
        <v>1</v>
      </c>
      <c r="DQ10" s="84">
        <v>9</v>
      </c>
      <c r="DR10" s="84">
        <v>220</v>
      </c>
      <c r="DS10" s="85">
        <v>459.77708150000007</v>
      </c>
    </row>
    <row r="11" spans="1:124">
      <c r="A11" s="80" t="str">
        <f>VLOOKUP('TaxaLimpeza (Proposta)'!A12,'TaxaLimpeza (Atual)'!A:B,1,FALSE)</f>
        <v>OKA131</v>
      </c>
      <c r="B11" s="75">
        <f>VLOOKUP('TaxaLimpeza (Proposta)'!A12,'TaxaLimpeza (Atual)'!A:B,2,FALSE)-'TaxaLimpeza (Proposta)'!DM12</f>
        <v>-198.25273249999998</v>
      </c>
      <c r="C11" s="75">
        <f>'TaxaLimpeza (Proposta)'!DM12-'TaxaLimpeza (Proposta)'!DM12*0.9</f>
        <v>43.825273250000009</v>
      </c>
      <c r="D11" s="75">
        <f t="shared" si="0"/>
        <v>-154.42745924999997</v>
      </c>
      <c r="F11" s="84" t="s">
        <v>311</v>
      </c>
      <c r="G11" s="84" t="str">
        <v>OKA128</v>
      </c>
      <c r="H11" s="84" t="str">
        <v>Campeche</v>
      </c>
      <c r="I11" s="84" t="str">
        <v>Florianópolis</v>
      </c>
      <c r="J11" s="84" t="str">
        <v>SC</v>
      </c>
      <c r="K11" s="84" t="str">
        <v>Ativo</v>
      </c>
      <c r="L11" s="84">
        <v>1</v>
      </c>
      <c r="M11" s="84">
        <v>0.24</v>
      </c>
      <c r="N11" s="84">
        <v>2.7519999999999998</v>
      </c>
      <c r="O11" s="84">
        <v>0.66047999999999996</v>
      </c>
      <c r="P11" s="84">
        <v>1</v>
      </c>
      <c r="Q11" s="84">
        <v>0.16</v>
      </c>
      <c r="R11" s="84">
        <v>3.5345</v>
      </c>
      <c r="S11" s="84">
        <v>0.56552000000000002</v>
      </c>
      <c r="T11" s="84">
        <v>0</v>
      </c>
      <c r="U11" s="84">
        <v>0</v>
      </c>
      <c r="V11" s="84">
        <v>0</v>
      </c>
      <c r="W11" s="84">
        <v>0</v>
      </c>
      <c r="X11" s="84">
        <v>4</v>
      </c>
      <c r="Y11" s="84">
        <v>0.39</v>
      </c>
      <c r="Z11" s="84">
        <v>4.7865000000000002</v>
      </c>
      <c r="AA11" s="84">
        <v>7.4669400000000001</v>
      </c>
      <c r="AB11" s="84">
        <v>0</v>
      </c>
      <c r="AC11" s="84">
        <v>0</v>
      </c>
      <c r="AD11" s="84">
        <v>0</v>
      </c>
      <c r="AE11" s="84">
        <v>0</v>
      </c>
      <c r="AF11" s="84">
        <v>0</v>
      </c>
      <c r="AG11" s="84">
        <v>0</v>
      </c>
      <c r="AH11" s="84">
        <v>0</v>
      </c>
      <c r="AI11" s="84">
        <v>0</v>
      </c>
      <c r="AJ11" s="84">
        <v>1</v>
      </c>
      <c r="AK11" s="84">
        <v>1.01</v>
      </c>
      <c r="AL11" s="84">
        <v>9.3249999999999993</v>
      </c>
      <c r="AM11" s="84">
        <v>9.4182499999999987</v>
      </c>
      <c r="AN11" s="84">
        <v>0</v>
      </c>
      <c r="AO11" s="84">
        <v>0</v>
      </c>
      <c r="AP11" s="84">
        <v>0</v>
      </c>
      <c r="AQ11" s="84">
        <v>0</v>
      </c>
      <c r="AR11" s="84">
        <v>2</v>
      </c>
      <c r="AS11" s="84">
        <v>0.3</v>
      </c>
      <c r="AT11" s="84">
        <v>8.5425000000000004</v>
      </c>
      <c r="AU11" s="84">
        <v>5.1254999999999997</v>
      </c>
      <c r="AV11" s="84">
        <v>0</v>
      </c>
      <c r="AW11" s="84">
        <v>0</v>
      </c>
      <c r="AX11" s="84">
        <v>0</v>
      </c>
      <c r="AY11" s="84">
        <v>0</v>
      </c>
      <c r="AZ11" s="84">
        <v>2</v>
      </c>
      <c r="BA11" s="84">
        <v>0.3</v>
      </c>
      <c r="BB11" s="84">
        <v>6.9774999999999991</v>
      </c>
      <c r="BC11" s="84">
        <v>4.1864999999999997</v>
      </c>
      <c r="BD11" s="84">
        <v>4</v>
      </c>
      <c r="BE11" s="84">
        <v>0.19</v>
      </c>
      <c r="BF11" s="84">
        <v>3.0649999999999999</v>
      </c>
      <c r="BG11" s="84">
        <v>2.3294000000000001</v>
      </c>
      <c r="BH11" s="84">
        <v>0</v>
      </c>
      <c r="BI11" s="84">
        <v>0</v>
      </c>
      <c r="BJ11" s="84">
        <v>0</v>
      </c>
      <c r="BK11" s="84">
        <v>0</v>
      </c>
      <c r="BL11" s="84">
        <v>1</v>
      </c>
      <c r="BM11" s="84">
        <v>2.62</v>
      </c>
      <c r="BN11" s="84">
        <v>41.7575</v>
      </c>
      <c r="BO11" s="84">
        <v>109.40465</v>
      </c>
      <c r="BP11" s="84">
        <v>0</v>
      </c>
      <c r="BQ11" s="84">
        <v>0</v>
      </c>
      <c r="BR11" s="84">
        <v>0</v>
      </c>
      <c r="BS11" s="84">
        <v>0</v>
      </c>
      <c r="BT11" s="84">
        <v>0</v>
      </c>
      <c r="BU11" s="84">
        <v>0</v>
      </c>
      <c r="BV11" s="84">
        <v>0</v>
      </c>
      <c r="BW11" s="84">
        <v>0</v>
      </c>
      <c r="BX11" s="84">
        <v>0</v>
      </c>
      <c r="BY11" s="84">
        <v>0</v>
      </c>
      <c r="BZ11" s="84">
        <v>0</v>
      </c>
      <c r="CA11" s="84">
        <v>0</v>
      </c>
      <c r="CB11" s="84">
        <v>0</v>
      </c>
      <c r="CC11" s="84">
        <v>0</v>
      </c>
      <c r="CD11" s="84">
        <v>0</v>
      </c>
      <c r="CE11" s="84">
        <v>0</v>
      </c>
      <c r="CF11" s="84">
        <v>0</v>
      </c>
      <c r="CG11" s="84">
        <v>0</v>
      </c>
      <c r="CH11" s="84">
        <v>0</v>
      </c>
      <c r="CI11" s="84">
        <v>0</v>
      </c>
      <c r="CJ11" s="84">
        <v>0</v>
      </c>
      <c r="CK11" s="84">
        <v>0</v>
      </c>
      <c r="CL11" s="84">
        <v>0</v>
      </c>
      <c r="CM11" s="84">
        <v>0</v>
      </c>
      <c r="CN11" s="84">
        <v>0</v>
      </c>
      <c r="CO11" s="84">
        <v>0</v>
      </c>
      <c r="CP11" s="84">
        <v>0</v>
      </c>
      <c r="CQ11" s="84">
        <v>0</v>
      </c>
      <c r="CR11" s="84">
        <v>1</v>
      </c>
      <c r="CS11" s="84">
        <v>1.56</v>
      </c>
      <c r="CT11" s="84">
        <v>16.457000000000001</v>
      </c>
      <c r="CU11" s="84">
        <v>25.672920000000001</v>
      </c>
      <c r="CV11" s="84">
        <v>0</v>
      </c>
      <c r="CW11" s="84">
        <v>0</v>
      </c>
      <c r="CX11" s="84">
        <v>0</v>
      </c>
      <c r="CY11" s="84">
        <v>0</v>
      </c>
      <c r="CZ11" s="84">
        <v>0</v>
      </c>
      <c r="DA11" s="84">
        <v>0</v>
      </c>
      <c r="DB11" s="84">
        <v>0</v>
      </c>
      <c r="DC11" s="84">
        <v>0</v>
      </c>
      <c r="DD11" s="84">
        <v>164.83016000000001</v>
      </c>
      <c r="DE11" s="84">
        <v>0.5</v>
      </c>
      <c r="DF11" s="84">
        <v>4</v>
      </c>
      <c r="DG11" s="84">
        <v>1.5</v>
      </c>
      <c r="DH11" s="84">
        <v>1.5</v>
      </c>
      <c r="DI11" s="84">
        <v>7.5</v>
      </c>
      <c r="DJ11" s="84">
        <v>2</v>
      </c>
      <c r="DK11" s="84">
        <v>2</v>
      </c>
      <c r="DL11" s="84">
        <v>1</v>
      </c>
      <c r="DM11" s="84">
        <v>1</v>
      </c>
      <c r="DN11" s="84">
        <v>1</v>
      </c>
      <c r="DO11" s="84">
        <v>1</v>
      </c>
      <c r="DP11" s="84">
        <v>1</v>
      </c>
      <c r="DQ11" s="84">
        <v>9</v>
      </c>
      <c r="DR11" s="84">
        <v>220</v>
      </c>
      <c r="DS11" s="85">
        <v>441.46317600000003</v>
      </c>
    </row>
    <row r="12" spans="1:124">
      <c r="A12" s="80" t="str">
        <f>VLOOKUP('TaxaLimpeza (Proposta)'!A13,'TaxaLimpeza (Atual)'!A:B,1,FALSE)</f>
        <v>OKA134</v>
      </c>
      <c r="B12" s="75">
        <f>VLOOKUP('TaxaLimpeza (Proposta)'!A13,'TaxaLimpeza (Atual)'!A:B,2,FALSE)-'TaxaLimpeza (Proposta)'!DM13</f>
        <v>-70.534307000000069</v>
      </c>
      <c r="C12" s="75">
        <f>'TaxaLimpeza (Proposta)'!DM13-'TaxaLimpeza (Proposta)'!DM13*0.9</f>
        <v>32.653430700000001</v>
      </c>
      <c r="D12" s="75">
        <f t="shared" si="0"/>
        <v>-37.880876300000068</v>
      </c>
      <c r="F12" s="84" t="s">
        <v>312</v>
      </c>
      <c r="G12" s="84" t="str">
        <v>OKA204</v>
      </c>
      <c r="H12" s="84" t="str">
        <v>Campeche</v>
      </c>
      <c r="I12" s="84" t="str">
        <v>Florianópolis</v>
      </c>
      <c r="J12" s="84" t="str">
        <v>SC</v>
      </c>
      <c r="K12" s="84" t="str">
        <v>Ativo</v>
      </c>
      <c r="L12" s="84">
        <v>1</v>
      </c>
      <c r="M12" s="84">
        <v>0.24</v>
      </c>
      <c r="N12" s="84">
        <v>2.7519999999999998</v>
      </c>
      <c r="O12" s="84">
        <v>0.66047999999999996</v>
      </c>
      <c r="P12" s="84">
        <v>1</v>
      </c>
      <c r="Q12" s="84">
        <v>0.16</v>
      </c>
      <c r="R12" s="84">
        <v>3.5345</v>
      </c>
      <c r="S12" s="84">
        <v>0.56552000000000002</v>
      </c>
      <c r="T12" s="84">
        <v>0</v>
      </c>
      <c r="U12" s="84">
        <v>0</v>
      </c>
      <c r="V12" s="84">
        <v>0</v>
      </c>
      <c r="W12" s="84">
        <v>0</v>
      </c>
      <c r="X12" s="84">
        <v>4</v>
      </c>
      <c r="Y12" s="84">
        <v>0.39</v>
      </c>
      <c r="Z12" s="84">
        <v>4.7865000000000002</v>
      </c>
      <c r="AA12" s="84">
        <v>7.4669400000000001</v>
      </c>
      <c r="AB12" s="84">
        <v>0</v>
      </c>
      <c r="AC12" s="84">
        <v>0</v>
      </c>
      <c r="AD12" s="84">
        <v>0</v>
      </c>
      <c r="AE12" s="84">
        <v>0</v>
      </c>
      <c r="AF12" s="84">
        <v>0</v>
      </c>
      <c r="AG12" s="84">
        <v>0</v>
      </c>
      <c r="AH12" s="84">
        <v>0</v>
      </c>
      <c r="AI12" s="84">
        <v>0</v>
      </c>
      <c r="AJ12" s="84">
        <v>1</v>
      </c>
      <c r="AK12" s="84">
        <v>1.01</v>
      </c>
      <c r="AL12" s="84">
        <v>9.3249999999999993</v>
      </c>
      <c r="AM12" s="84">
        <v>9.4182499999999987</v>
      </c>
      <c r="AN12" s="84">
        <v>0</v>
      </c>
      <c r="AO12" s="84">
        <v>0</v>
      </c>
      <c r="AP12" s="84">
        <v>0</v>
      </c>
      <c r="AQ12" s="84">
        <v>0</v>
      </c>
      <c r="AR12" s="84">
        <v>2</v>
      </c>
      <c r="AS12" s="84">
        <v>0.3</v>
      </c>
      <c r="AT12" s="84">
        <v>8.5425000000000004</v>
      </c>
      <c r="AU12" s="84">
        <v>5.1254999999999997</v>
      </c>
      <c r="AV12" s="84">
        <v>0</v>
      </c>
      <c r="AW12" s="84">
        <v>0</v>
      </c>
      <c r="AX12" s="84">
        <v>0</v>
      </c>
      <c r="AY12" s="84">
        <v>0</v>
      </c>
      <c r="AZ12" s="84">
        <v>2</v>
      </c>
      <c r="BA12" s="84">
        <v>0.3</v>
      </c>
      <c r="BB12" s="84">
        <v>6.9774999999999991</v>
      </c>
      <c r="BC12" s="84">
        <v>4.1864999999999997</v>
      </c>
      <c r="BD12" s="84">
        <v>4</v>
      </c>
      <c r="BE12" s="84">
        <v>0.19</v>
      </c>
      <c r="BF12" s="84">
        <v>3.0649999999999999</v>
      </c>
      <c r="BG12" s="84">
        <v>2.3294000000000001</v>
      </c>
      <c r="BH12" s="84">
        <v>0</v>
      </c>
      <c r="BI12" s="84">
        <v>0</v>
      </c>
      <c r="BJ12" s="84">
        <v>0</v>
      </c>
      <c r="BK12" s="84">
        <v>0</v>
      </c>
      <c r="BL12" s="84">
        <v>1</v>
      </c>
      <c r="BM12" s="84">
        <v>2.62</v>
      </c>
      <c r="BN12" s="84">
        <v>41.7575</v>
      </c>
      <c r="BO12" s="84">
        <v>109.40465</v>
      </c>
      <c r="BP12" s="84">
        <v>0</v>
      </c>
      <c r="BQ12" s="84">
        <v>0</v>
      </c>
      <c r="BR12" s="84">
        <v>0</v>
      </c>
      <c r="BS12" s="84">
        <v>0</v>
      </c>
      <c r="BT12" s="84">
        <v>0</v>
      </c>
      <c r="BU12" s="84">
        <v>0</v>
      </c>
      <c r="BV12" s="84">
        <v>0</v>
      </c>
      <c r="BW12" s="84">
        <v>0</v>
      </c>
      <c r="BX12" s="84">
        <v>0</v>
      </c>
      <c r="BY12" s="84">
        <v>0</v>
      </c>
      <c r="BZ12" s="84">
        <v>0</v>
      </c>
      <c r="CA12" s="84">
        <v>0</v>
      </c>
      <c r="CB12" s="84">
        <v>0</v>
      </c>
      <c r="CC12" s="84">
        <v>0</v>
      </c>
      <c r="CD12" s="84">
        <v>0</v>
      </c>
      <c r="CE12" s="84">
        <v>0</v>
      </c>
      <c r="CF12" s="84">
        <v>0</v>
      </c>
      <c r="CG12" s="84">
        <v>0</v>
      </c>
      <c r="CH12" s="84">
        <v>0</v>
      </c>
      <c r="CI12" s="84">
        <v>0</v>
      </c>
      <c r="CJ12" s="84">
        <v>0</v>
      </c>
      <c r="CK12" s="84">
        <v>0</v>
      </c>
      <c r="CL12" s="84">
        <v>0</v>
      </c>
      <c r="CM12" s="84">
        <v>0</v>
      </c>
      <c r="CN12" s="84">
        <v>0</v>
      </c>
      <c r="CO12" s="84">
        <v>0</v>
      </c>
      <c r="CP12" s="84">
        <v>0</v>
      </c>
      <c r="CQ12" s="84">
        <v>0</v>
      </c>
      <c r="CR12" s="84">
        <v>1</v>
      </c>
      <c r="CS12" s="84">
        <v>1.56</v>
      </c>
      <c r="CT12" s="84">
        <v>16.457000000000001</v>
      </c>
      <c r="CU12" s="84">
        <v>25.672920000000001</v>
      </c>
      <c r="CV12" s="84">
        <v>0</v>
      </c>
      <c r="CW12" s="84">
        <v>0</v>
      </c>
      <c r="CX12" s="84">
        <v>0</v>
      </c>
      <c r="CY12" s="84">
        <v>0</v>
      </c>
      <c r="CZ12" s="84">
        <v>0</v>
      </c>
      <c r="DA12" s="84">
        <v>0</v>
      </c>
      <c r="DB12" s="84">
        <v>0</v>
      </c>
      <c r="DC12" s="84">
        <v>0</v>
      </c>
      <c r="DD12" s="84">
        <v>164.83016000000001</v>
      </c>
      <c r="DE12" s="84">
        <v>0.5</v>
      </c>
      <c r="DF12" s="84">
        <v>4</v>
      </c>
      <c r="DG12" s="84">
        <v>1.5</v>
      </c>
      <c r="DH12" s="84">
        <v>1.5</v>
      </c>
      <c r="DI12" s="84">
        <v>7.5</v>
      </c>
      <c r="DJ12" s="84">
        <v>2</v>
      </c>
      <c r="DK12" s="84">
        <v>2</v>
      </c>
      <c r="DL12" s="84">
        <v>1</v>
      </c>
      <c r="DM12" s="84">
        <v>1</v>
      </c>
      <c r="DN12" s="84">
        <v>1</v>
      </c>
      <c r="DO12" s="84">
        <v>1</v>
      </c>
      <c r="DP12" s="84">
        <v>1</v>
      </c>
      <c r="DQ12" s="84">
        <v>9</v>
      </c>
      <c r="DR12" s="84">
        <v>220</v>
      </c>
      <c r="DS12" s="85">
        <v>441.46317600000003</v>
      </c>
    </row>
    <row r="13" spans="1:124">
      <c r="A13" s="80" t="str">
        <f>VLOOKUP('TaxaLimpeza (Proposta)'!A14,'TaxaLimpeza (Atual)'!A:B,1,FALSE)</f>
        <v>OKA139</v>
      </c>
      <c r="B13" s="75">
        <f>VLOOKUP('TaxaLimpeza (Proposta)'!A14,'TaxaLimpeza (Atual)'!A:B,2,FALSE)-'TaxaLimpeza (Proposta)'!DM14</f>
        <v>-49.542536200000029</v>
      </c>
      <c r="C13" s="75">
        <f>'TaxaLimpeza (Proposta)'!DM14-'TaxaLimpeza (Proposta)'!DM14*0.9</f>
        <v>30.554253619999997</v>
      </c>
      <c r="D13" s="75">
        <f t="shared" si="0"/>
        <v>-18.988282580000032</v>
      </c>
      <c r="F13" s="84" t="s">
        <v>313</v>
      </c>
      <c r="G13" s="84" t="str">
        <v>OKA131</v>
      </c>
      <c r="H13" s="84" t="str">
        <v>Campeche</v>
      </c>
      <c r="I13" s="84" t="str">
        <v>Florianópolis</v>
      </c>
      <c r="J13" s="84" t="str">
        <v>SC</v>
      </c>
      <c r="K13" s="84" t="str">
        <v>Ativo</v>
      </c>
      <c r="L13" s="84">
        <v>1</v>
      </c>
      <c r="M13" s="84">
        <v>0.24</v>
      </c>
      <c r="N13" s="84">
        <v>2.7519999999999998</v>
      </c>
      <c r="O13" s="84">
        <v>0.66047999999999996</v>
      </c>
      <c r="P13" s="84">
        <v>1</v>
      </c>
      <c r="Q13" s="84">
        <v>0.16</v>
      </c>
      <c r="R13" s="84">
        <v>3.5345</v>
      </c>
      <c r="S13" s="84">
        <v>0.56552000000000002</v>
      </c>
      <c r="T13" s="84">
        <v>0</v>
      </c>
      <c r="U13" s="84">
        <v>0</v>
      </c>
      <c r="V13" s="84">
        <v>0</v>
      </c>
      <c r="W13" s="84">
        <v>0</v>
      </c>
      <c r="X13" s="84">
        <v>3</v>
      </c>
      <c r="Y13" s="84">
        <v>0.39</v>
      </c>
      <c r="Z13" s="84">
        <v>4.7865000000000002</v>
      </c>
      <c r="AA13" s="84">
        <v>5.6002049999999999</v>
      </c>
      <c r="AB13" s="84">
        <v>0</v>
      </c>
      <c r="AC13" s="84">
        <v>0</v>
      </c>
      <c r="AD13" s="84">
        <v>0</v>
      </c>
      <c r="AE13" s="84">
        <v>0</v>
      </c>
      <c r="AF13" s="84">
        <v>0</v>
      </c>
      <c r="AG13" s="84">
        <v>0</v>
      </c>
      <c r="AH13" s="84">
        <v>0</v>
      </c>
      <c r="AI13" s="84">
        <v>0</v>
      </c>
      <c r="AJ13" s="84">
        <v>1</v>
      </c>
      <c r="AK13" s="84">
        <v>1.01</v>
      </c>
      <c r="AL13" s="84">
        <v>9.3249999999999993</v>
      </c>
      <c r="AM13" s="84">
        <v>9.4182499999999987</v>
      </c>
      <c r="AN13" s="84">
        <v>2</v>
      </c>
      <c r="AO13" s="84">
        <v>0.3</v>
      </c>
      <c r="AP13" s="84">
        <v>6.1950000000000003</v>
      </c>
      <c r="AQ13" s="84">
        <v>3.7170000000000001</v>
      </c>
      <c r="AR13" s="84">
        <v>2</v>
      </c>
      <c r="AS13" s="84">
        <v>0.3</v>
      </c>
      <c r="AT13" s="84">
        <v>8.5425000000000004</v>
      </c>
      <c r="AU13" s="84">
        <v>5.1254999999999997</v>
      </c>
      <c r="AV13" s="84">
        <v>0</v>
      </c>
      <c r="AW13" s="84">
        <v>0</v>
      </c>
      <c r="AX13" s="84">
        <v>0</v>
      </c>
      <c r="AY13" s="84">
        <v>0</v>
      </c>
      <c r="AZ13" s="84">
        <v>0</v>
      </c>
      <c r="BA13" s="84">
        <v>0</v>
      </c>
      <c r="BB13" s="84">
        <v>0</v>
      </c>
      <c r="BC13" s="84">
        <v>0</v>
      </c>
      <c r="BD13" s="84">
        <v>3</v>
      </c>
      <c r="BE13" s="84">
        <v>0.19</v>
      </c>
      <c r="BF13" s="84">
        <v>3.0649999999999999</v>
      </c>
      <c r="BG13" s="84">
        <v>1.7470500000000002</v>
      </c>
      <c r="BH13" s="84">
        <v>0</v>
      </c>
      <c r="BI13" s="84">
        <v>0</v>
      </c>
      <c r="BJ13" s="84">
        <v>0</v>
      </c>
      <c r="BK13" s="84">
        <v>0</v>
      </c>
      <c r="BL13" s="84">
        <v>1</v>
      </c>
      <c r="BM13" s="84">
        <v>2.62</v>
      </c>
      <c r="BN13" s="84">
        <v>41.7575</v>
      </c>
      <c r="BO13" s="84">
        <v>109.40465</v>
      </c>
      <c r="BP13" s="84">
        <v>0</v>
      </c>
      <c r="BQ13" s="84">
        <v>0</v>
      </c>
      <c r="BR13" s="84">
        <v>0</v>
      </c>
      <c r="BS13" s="84">
        <v>0</v>
      </c>
      <c r="BT13" s="84">
        <v>0</v>
      </c>
      <c r="BU13" s="84">
        <v>0</v>
      </c>
      <c r="BV13" s="84">
        <v>0</v>
      </c>
      <c r="BW13" s="84">
        <v>0</v>
      </c>
      <c r="BX13" s="84">
        <v>0</v>
      </c>
      <c r="BY13" s="84">
        <v>0</v>
      </c>
      <c r="BZ13" s="84">
        <v>0</v>
      </c>
      <c r="CA13" s="84">
        <v>0</v>
      </c>
      <c r="CB13" s="84">
        <v>0</v>
      </c>
      <c r="CC13" s="84">
        <v>0</v>
      </c>
      <c r="CD13" s="84">
        <v>0</v>
      </c>
      <c r="CE13" s="84">
        <v>0</v>
      </c>
      <c r="CF13" s="84">
        <v>0</v>
      </c>
      <c r="CG13" s="84">
        <v>0</v>
      </c>
      <c r="CH13" s="84">
        <v>0</v>
      </c>
      <c r="CI13" s="84">
        <v>0</v>
      </c>
      <c r="CJ13" s="84">
        <v>0</v>
      </c>
      <c r="CK13" s="84">
        <v>0</v>
      </c>
      <c r="CL13" s="84">
        <v>0</v>
      </c>
      <c r="CM13" s="84">
        <v>0</v>
      </c>
      <c r="CN13" s="84">
        <v>0</v>
      </c>
      <c r="CO13" s="84">
        <v>0</v>
      </c>
      <c r="CP13" s="84">
        <v>0</v>
      </c>
      <c r="CQ13" s="84">
        <v>0</v>
      </c>
      <c r="CR13" s="84">
        <v>1</v>
      </c>
      <c r="CS13" s="84">
        <v>1.56</v>
      </c>
      <c r="CT13" s="84">
        <v>16.457000000000001</v>
      </c>
      <c r="CU13" s="84">
        <v>25.672920000000001</v>
      </c>
      <c r="CV13" s="84">
        <v>0</v>
      </c>
      <c r="CW13" s="84">
        <v>0</v>
      </c>
      <c r="CX13" s="84">
        <v>0</v>
      </c>
      <c r="CY13" s="84">
        <v>0</v>
      </c>
      <c r="CZ13" s="84">
        <v>0</v>
      </c>
      <c r="DA13" s="84">
        <v>0</v>
      </c>
      <c r="DB13" s="84">
        <v>0</v>
      </c>
      <c r="DC13" s="84">
        <v>0</v>
      </c>
      <c r="DD13" s="84">
        <v>161.911575</v>
      </c>
      <c r="DE13" s="84">
        <v>0.5</v>
      </c>
      <c r="DF13" s="84">
        <v>4</v>
      </c>
      <c r="DG13" s="84">
        <v>1.5</v>
      </c>
      <c r="DH13" s="84">
        <v>1.5</v>
      </c>
      <c r="DI13" s="84">
        <v>7.5</v>
      </c>
      <c r="DJ13" s="84">
        <v>2</v>
      </c>
      <c r="DK13" s="84">
        <v>2</v>
      </c>
      <c r="DL13" s="84">
        <v>1</v>
      </c>
      <c r="DM13" s="84">
        <v>1</v>
      </c>
      <c r="DN13" s="84">
        <v>1</v>
      </c>
      <c r="DO13" s="84">
        <v>1</v>
      </c>
      <c r="DP13" s="84">
        <v>1</v>
      </c>
      <c r="DQ13" s="84">
        <v>9</v>
      </c>
      <c r="DR13" s="84">
        <v>220</v>
      </c>
      <c r="DS13" s="85">
        <v>438.25273249999998</v>
      </c>
    </row>
    <row r="14" spans="1:124">
      <c r="A14" s="80" t="str">
        <f>VLOOKUP('TaxaLimpeza (Proposta)'!A15,'TaxaLimpeza (Atual)'!A:B,1,FALSE)</f>
        <v>OKA141</v>
      </c>
      <c r="B14" s="75">
        <f>VLOOKUP('TaxaLimpeza (Proposta)'!A15,'TaxaLimpeza (Atual)'!A:B,2,FALSE)-'TaxaLimpeza (Proposta)'!DM15</f>
        <v>-207.88686950000005</v>
      </c>
      <c r="C14" s="75">
        <f>'TaxaLimpeza (Proposta)'!DM15-'TaxaLimpeza (Proposta)'!DM15*0.9</f>
        <v>47.388686950000022</v>
      </c>
      <c r="D14" s="75">
        <f t="shared" si="0"/>
        <v>-160.49818255000002</v>
      </c>
      <c r="F14" s="84" t="s">
        <v>314</v>
      </c>
      <c r="G14" s="84" t="str">
        <v>OKA110</v>
      </c>
      <c r="H14" s="84" t="str">
        <v>Campeche</v>
      </c>
      <c r="I14" s="84" t="str">
        <v>Florianópolis</v>
      </c>
      <c r="J14" s="84" t="str">
        <v>SC</v>
      </c>
      <c r="K14" s="84" t="str">
        <v>Ativo</v>
      </c>
      <c r="L14" s="84">
        <v>2</v>
      </c>
      <c r="M14" s="84">
        <v>0.24</v>
      </c>
      <c r="N14" s="84">
        <v>2.7519999999999998</v>
      </c>
      <c r="O14" s="84">
        <v>1.3209599999999999</v>
      </c>
      <c r="P14" s="84">
        <v>2</v>
      </c>
      <c r="Q14" s="84">
        <v>0.16</v>
      </c>
      <c r="R14" s="84">
        <v>3.5345</v>
      </c>
      <c r="S14" s="84">
        <v>1.13104</v>
      </c>
      <c r="T14" s="84">
        <v>0</v>
      </c>
      <c r="U14" s="84">
        <v>0</v>
      </c>
      <c r="V14" s="84">
        <v>0</v>
      </c>
      <c r="W14" s="84">
        <v>0</v>
      </c>
      <c r="X14" s="84">
        <v>7</v>
      </c>
      <c r="Y14" s="84">
        <v>0.39</v>
      </c>
      <c r="Z14" s="84">
        <v>4.7865000000000002</v>
      </c>
      <c r="AA14" s="84">
        <v>13.067145</v>
      </c>
      <c r="AB14" s="84">
        <v>0</v>
      </c>
      <c r="AC14" s="84">
        <v>0</v>
      </c>
      <c r="AD14" s="84">
        <v>0</v>
      </c>
      <c r="AE14" s="84">
        <v>0</v>
      </c>
      <c r="AF14" s="84">
        <v>0</v>
      </c>
      <c r="AG14" s="84">
        <v>0</v>
      </c>
      <c r="AH14" s="84">
        <v>0</v>
      </c>
      <c r="AI14" s="84">
        <v>0</v>
      </c>
      <c r="AJ14" s="84">
        <v>5</v>
      </c>
      <c r="AK14" s="84">
        <v>1.01</v>
      </c>
      <c r="AL14" s="84">
        <v>9.3249999999999993</v>
      </c>
      <c r="AM14" s="84">
        <v>47.091249999999995</v>
      </c>
      <c r="AN14" s="84">
        <v>10</v>
      </c>
      <c r="AO14" s="84">
        <v>0.3</v>
      </c>
      <c r="AP14" s="84">
        <v>6.1950000000000003</v>
      </c>
      <c r="AQ14" s="84">
        <v>18.585000000000001</v>
      </c>
      <c r="AR14" s="84">
        <v>0</v>
      </c>
      <c r="AS14" s="84">
        <v>0</v>
      </c>
      <c r="AT14" s="84">
        <v>0</v>
      </c>
      <c r="AU14" s="84">
        <v>0</v>
      </c>
      <c r="AV14" s="84">
        <v>0</v>
      </c>
      <c r="AW14" s="84">
        <v>0</v>
      </c>
      <c r="AX14" s="84">
        <v>0</v>
      </c>
      <c r="AY14" s="84">
        <v>0</v>
      </c>
      <c r="AZ14" s="84">
        <v>2</v>
      </c>
      <c r="BA14" s="84">
        <v>0.3</v>
      </c>
      <c r="BB14" s="84">
        <v>6.9774999999999991</v>
      </c>
      <c r="BC14" s="84">
        <v>4.1864999999999997</v>
      </c>
      <c r="BD14" s="84">
        <v>7</v>
      </c>
      <c r="BE14" s="84">
        <v>0.19</v>
      </c>
      <c r="BF14" s="84">
        <v>3.0649999999999999</v>
      </c>
      <c r="BG14" s="84">
        <v>4.0764500000000004</v>
      </c>
      <c r="BH14" s="84">
        <v>0</v>
      </c>
      <c r="BI14" s="84">
        <v>0</v>
      </c>
      <c r="BJ14" s="84">
        <v>0</v>
      </c>
      <c r="BK14" s="84">
        <v>0</v>
      </c>
      <c r="BL14" s="84">
        <v>0</v>
      </c>
      <c r="BM14" s="84">
        <v>0</v>
      </c>
      <c r="BN14" s="84">
        <v>0</v>
      </c>
      <c r="BO14" s="84">
        <v>0</v>
      </c>
      <c r="BP14" s="84">
        <v>0</v>
      </c>
      <c r="BQ14" s="84">
        <v>0</v>
      </c>
      <c r="BR14" s="84">
        <v>0</v>
      </c>
      <c r="BS14" s="84">
        <v>0</v>
      </c>
      <c r="BT14" s="84">
        <v>1</v>
      </c>
      <c r="BU14" s="84">
        <v>1.1100000000000001</v>
      </c>
      <c r="BV14" s="84">
        <v>41.7575</v>
      </c>
      <c r="BW14" s="84">
        <v>46.350825000000007</v>
      </c>
      <c r="BX14" s="84">
        <v>0</v>
      </c>
      <c r="BY14" s="84">
        <v>0</v>
      </c>
      <c r="BZ14" s="84">
        <v>0</v>
      </c>
      <c r="CA14" s="84">
        <v>0</v>
      </c>
      <c r="CB14" s="84">
        <v>0</v>
      </c>
      <c r="CC14" s="84">
        <v>0</v>
      </c>
      <c r="CD14" s="84">
        <v>0</v>
      </c>
      <c r="CE14" s="84">
        <v>0</v>
      </c>
      <c r="CF14" s="84">
        <v>0</v>
      </c>
      <c r="CG14" s="84">
        <v>0</v>
      </c>
      <c r="CH14" s="84">
        <v>0</v>
      </c>
      <c r="CI14" s="84">
        <v>0</v>
      </c>
      <c r="CJ14" s="84">
        <v>0</v>
      </c>
      <c r="CK14" s="84">
        <v>0</v>
      </c>
      <c r="CL14" s="84">
        <v>0</v>
      </c>
      <c r="CM14" s="84">
        <v>0</v>
      </c>
      <c r="CN14" s="84">
        <v>0</v>
      </c>
      <c r="CO14" s="84">
        <v>0</v>
      </c>
      <c r="CP14" s="84">
        <v>0</v>
      </c>
      <c r="CQ14" s="84">
        <v>0</v>
      </c>
      <c r="CR14" s="84">
        <v>0</v>
      </c>
      <c r="CS14" s="84">
        <v>0</v>
      </c>
      <c r="CT14" s="84">
        <v>0</v>
      </c>
      <c r="CU14" s="84">
        <v>0</v>
      </c>
      <c r="CV14" s="84">
        <v>0</v>
      </c>
      <c r="CW14" s="84">
        <v>0</v>
      </c>
      <c r="CX14" s="84">
        <v>0</v>
      </c>
      <c r="CY14" s="84">
        <v>0</v>
      </c>
      <c r="CZ14" s="84">
        <v>1</v>
      </c>
      <c r="DA14" s="84">
        <v>1.56</v>
      </c>
      <c r="DB14" s="84">
        <v>16.457000000000001</v>
      </c>
      <c r="DC14" s="84">
        <v>25.672920000000001</v>
      </c>
      <c r="DD14" s="84">
        <v>161.48209</v>
      </c>
      <c r="DE14" s="84">
        <v>0.5</v>
      </c>
      <c r="DF14" s="84">
        <v>4</v>
      </c>
      <c r="DG14" s="84">
        <v>1.5</v>
      </c>
      <c r="DH14" s="84">
        <v>1.5</v>
      </c>
      <c r="DI14" s="84">
        <v>7.5</v>
      </c>
      <c r="DJ14" s="84">
        <v>2</v>
      </c>
      <c r="DK14" s="84">
        <v>2</v>
      </c>
      <c r="DL14" s="84">
        <v>1</v>
      </c>
      <c r="DM14" s="84">
        <v>1</v>
      </c>
      <c r="DN14" s="84">
        <v>1</v>
      </c>
      <c r="DO14" s="84">
        <v>1</v>
      </c>
      <c r="DP14" s="84">
        <v>1</v>
      </c>
      <c r="DQ14" s="84">
        <v>9</v>
      </c>
      <c r="DR14" s="84">
        <v>220</v>
      </c>
      <c r="DS14" s="85">
        <v>437.78029900000001</v>
      </c>
    </row>
    <row r="15" spans="1:124">
      <c r="A15" s="80" t="str">
        <f>VLOOKUP('TaxaLimpeza (Proposta)'!A16,'TaxaLimpeza (Atual)'!A:B,1,FALSE)</f>
        <v>OKA142</v>
      </c>
      <c r="B15" s="75">
        <f>VLOOKUP('TaxaLimpeza (Proposta)'!A16,'TaxaLimpeza (Atual)'!A:B,2,FALSE)-'TaxaLimpeza (Proposta)'!DM16</f>
        <v>-36.20502399999998</v>
      </c>
      <c r="C15" s="75">
        <f>'TaxaLimpeza (Proposta)'!DM16-'TaxaLimpeza (Proposta)'!DM16*0.9</f>
        <v>30.220502399999987</v>
      </c>
      <c r="D15" s="75">
        <f t="shared" si="0"/>
        <v>-5.9845215999999937</v>
      </c>
      <c r="F15" s="84" t="s">
        <v>315</v>
      </c>
      <c r="G15" s="84" t="str">
        <v>OKA216</v>
      </c>
      <c r="H15" s="84" t="str">
        <v>Campeche</v>
      </c>
      <c r="I15" s="84" t="str">
        <v>Florianópolis</v>
      </c>
      <c r="J15" s="84" t="str">
        <v>SC</v>
      </c>
      <c r="K15" s="84" t="str">
        <v>Ativo</v>
      </c>
      <c r="L15" s="84">
        <v>2</v>
      </c>
      <c r="M15" s="84">
        <v>0.24</v>
      </c>
      <c r="N15" s="84">
        <v>2.7519999999999998</v>
      </c>
      <c r="O15" s="84">
        <v>1.3209599999999999</v>
      </c>
      <c r="P15" s="84">
        <v>2</v>
      </c>
      <c r="Q15" s="84">
        <v>0.16</v>
      </c>
      <c r="R15" s="84">
        <v>3.5345</v>
      </c>
      <c r="S15" s="84">
        <v>1.13104</v>
      </c>
      <c r="T15" s="84">
        <v>0</v>
      </c>
      <c r="U15" s="84">
        <v>0</v>
      </c>
      <c r="V15" s="84">
        <v>0</v>
      </c>
      <c r="W15" s="84">
        <v>0</v>
      </c>
      <c r="X15" s="84">
        <v>7</v>
      </c>
      <c r="Y15" s="84">
        <v>0.39</v>
      </c>
      <c r="Z15" s="84">
        <v>4.7865000000000002</v>
      </c>
      <c r="AA15" s="84">
        <v>13.067145</v>
      </c>
      <c r="AB15" s="84">
        <v>0</v>
      </c>
      <c r="AC15" s="84">
        <v>0</v>
      </c>
      <c r="AD15" s="84">
        <v>0</v>
      </c>
      <c r="AE15" s="84">
        <v>0</v>
      </c>
      <c r="AF15" s="84">
        <v>0</v>
      </c>
      <c r="AG15" s="84">
        <v>0</v>
      </c>
      <c r="AH15" s="84">
        <v>0</v>
      </c>
      <c r="AI15" s="84">
        <v>0</v>
      </c>
      <c r="AJ15" s="84">
        <v>5</v>
      </c>
      <c r="AK15" s="84">
        <v>1.01</v>
      </c>
      <c r="AL15" s="84">
        <v>9.3249999999999993</v>
      </c>
      <c r="AM15" s="84">
        <v>47.091249999999995</v>
      </c>
      <c r="AN15" s="84">
        <v>10</v>
      </c>
      <c r="AO15" s="84">
        <v>0.3</v>
      </c>
      <c r="AP15" s="84">
        <v>6.1950000000000003</v>
      </c>
      <c r="AQ15" s="84">
        <v>18.585000000000001</v>
      </c>
      <c r="AR15" s="84">
        <v>0</v>
      </c>
      <c r="AS15" s="84">
        <v>0</v>
      </c>
      <c r="AT15" s="84">
        <v>0</v>
      </c>
      <c r="AU15" s="84">
        <v>0</v>
      </c>
      <c r="AV15" s="84">
        <v>0</v>
      </c>
      <c r="AW15" s="84">
        <v>0</v>
      </c>
      <c r="AX15" s="84">
        <v>0</v>
      </c>
      <c r="AY15" s="84">
        <v>0</v>
      </c>
      <c r="AZ15" s="84">
        <v>2</v>
      </c>
      <c r="BA15" s="84">
        <v>0.3</v>
      </c>
      <c r="BB15" s="84">
        <v>6.9774999999999991</v>
      </c>
      <c r="BC15" s="84">
        <v>4.1864999999999997</v>
      </c>
      <c r="BD15" s="84">
        <v>7</v>
      </c>
      <c r="BE15" s="84">
        <v>0.19</v>
      </c>
      <c r="BF15" s="84">
        <v>3.0649999999999999</v>
      </c>
      <c r="BG15" s="84">
        <v>4.0764500000000004</v>
      </c>
      <c r="BH15" s="84">
        <v>0</v>
      </c>
      <c r="BI15" s="84">
        <v>0</v>
      </c>
      <c r="BJ15" s="84">
        <v>0</v>
      </c>
      <c r="BK15" s="84">
        <v>0</v>
      </c>
      <c r="BL15" s="84">
        <v>0</v>
      </c>
      <c r="BM15" s="84">
        <v>0</v>
      </c>
      <c r="BN15" s="84">
        <v>0</v>
      </c>
      <c r="BO15" s="84">
        <v>0</v>
      </c>
      <c r="BP15" s="84">
        <v>0</v>
      </c>
      <c r="BQ15" s="84">
        <v>0</v>
      </c>
      <c r="BR15" s="84">
        <v>0</v>
      </c>
      <c r="BS15" s="84">
        <v>0</v>
      </c>
      <c r="BT15" s="84">
        <v>1</v>
      </c>
      <c r="BU15" s="84">
        <v>1.1100000000000001</v>
      </c>
      <c r="BV15" s="84">
        <v>41.7575</v>
      </c>
      <c r="BW15" s="84">
        <v>46.350825000000007</v>
      </c>
      <c r="BX15" s="84">
        <v>0</v>
      </c>
      <c r="BY15" s="84">
        <v>0</v>
      </c>
      <c r="BZ15" s="84">
        <v>0</v>
      </c>
      <c r="CA15" s="84">
        <v>0</v>
      </c>
      <c r="CB15" s="84">
        <v>0</v>
      </c>
      <c r="CC15" s="84">
        <v>0</v>
      </c>
      <c r="CD15" s="84">
        <v>0</v>
      </c>
      <c r="CE15" s="84">
        <v>0</v>
      </c>
      <c r="CF15" s="84">
        <v>0</v>
      </c>
      <c r="CG15" s="84">
        <v>0</v>
      </c>
      <c r="CH15" s="84">
        <v>0</v>
      </c>
      <c r="CI15" s="84">
        <v>0</v>
      </c>
      <c r="CJ15" s="84">
        <v>0</v>
      </c>
      <c r="CK15" s="84">
        <v>0</v>
      </c>
      <c r="CL15" s="84">
        <v>0</v>
      </c>
      <c r="CM15" s="84">
        <v>0</v>
      </c>
      <c r="CN15" s="84">
        <v>0</v>
      </c>
      <c r="CO15" s="84">
        <v>0</v>
      </c>
      <c r="CP15" s="84">
        <v>0</v>
      </c>
      <c r="CQ15" s="84">
        <v>0</v>
      </c>
      <c r="CR15" s="84">
        <v>0</v>
      </c>
      <c r="CS15" s="84">
        <v>0</v>
      </c>
      <c r="CT15" s="84">
        <v>0</v>
      </c>
      <c r="CU15" s="84">
        <v>0</v>
      </c>
      <c r="CV15" s="84">
        <v>0</v>
      </c>
      <c r="CW15" s="84">
        <v>0</v>
      </c>
      <c r="CX15" s="84">
        <v>0</v>
      </c>
      <c r="CY15" s="84">
        <v>0</v>
      </c>
      <c r="CZ15" s="84">
        <v>1</v>
      </c>
      <c r="DA15" s="84">
        <v>1.56</v>
      </c>
      <c r="DB15" s="84">
        <v>16.457000000000001</v>
      </c>
      <c r="DC15" s="84">
        <v>25.672920000000001</v>
      </c>
      <c r="DD15" s="84">
        <v>161.48209</v>
      </c>
      <c r="DE15" s="84">
        <v>0.5</v>
      </c>
      <c r="DF15" s="84">
        <v>4</v>
      </c>
      <c r="DG15" s="84">
        <v>1.5</v>
      </c>
      <c r="DH15" s="84">
        <v>1.5</v>
      </c>
      <c r="DI15" s="84">
        <v>7.5</v>
      </c>
      <c r="DJ15" s="84">
        <v>2</v>
      </c>
      <c r="DK15" s="84">
        <v>2</v>
      </c>
      <c r="DL15" s="84">
        <v>1</v>
      </c>
      <c r="DM15" s="84">
        <v>1</v>
      </c>
      <c r="DN15" s="84">
        <v>1</v>
      </c>
      <c r="DO15" s="84">
        <v>1</v>
      </c>
      <c r="DP15" s="84">
        <v>1</v>
      </c>
      <c r="DQ15" s="84">
        <v>9</v>
      </c>
      <c r="DR15" s="84">
        <v>220</v>
      </c>
      <c r="DS15" s="85">
        <v>437.78029900000001</v>
      </c>
    </row>
    <row r="16" spans="1:124">
      <c r="A16" s="80" t="str">
        <f>VLOOKUP('TaxaLimpeza (Proposta)'!A17,'TaxaLimpeza (Atual)'!A:B,1,FALSE)</f>
        <v>OKA204</v>
      </c>
      <c r="B16" s="75">
        <f>VLOOKUP('TaxaLimpeza (Proposta)'!A17,'TaxaLimpeza (Atual)'!A:B,2,FALSE)-'TaxaLimpeza (Proposta)'!DM17</f>
        <v>-201.46317600000003</v>
      </c>
      <c r="C16" s="75">
        <f>'TaxaLimpeza (Proposta)'!DM17-'TaxaLimpeza (Proposta)'!DM17*0.9</f>
        <v>44.146317599999975</v>
      </c>
      <c r="D16" s="75">
        <f t="shared" si="0"/>
        <v>-157.31685840000006</v>
      </c>
      <c r="F16" s="84" t="s">
        <v>316</v>
      </c>
      <c r="G16" s="84" t="str">
        <v>OKA111</v>
      </c>
      <c r="H16" s="84" t="str">
        <v>Campeche</v>
      </c>
      <c r="I16" s="84" t="str">
        <v>Florianópolis</v>
      </c>
      <c r="J16" s="84" t="str">
        <v>SC</v>
      </c>
      <c r="K16" s="84" t="str">
        <v>Ativo</v>
      </c>
      <c r="L16" s="84">
        <v>2</v>
      </c>
      <c r="M16" s="84">
        <v>0.24</v>
      </c>
      <c r="N16" s="84">
        <v>2.7519999999999998</v>
      </c>
      <c r="O16" s="84">
        <v>1.3209599999999999</v>
      </c>
      <c r="P16" s="84">
        <v>2</v>
      </c>
      <c r="Q16" s="84">
        <v>0.16</v>
      </c>
      <c r="R16" s="84">
        <v>3.5345</v>
      </c>
      <c r="S16" s="84">
        <v>1.13104</v>
      </c>
      <c r="T16" s="84">
        <v>0</v>
      </c>
      <c r="U16" s="84">
        <v>0</v>
      </c>
      <c r="V16" s="84">
        <v>0</v>
      </c>
      <c r="W16" s="84">
        <v>0</v>
      </c>
      <c r="X16" s="84">
        <v>5</v>
      </c>
      <c r="Y16" s="84">
        <v>0.39</v>
      </c>
      <c r="Z16" s="84">
        <v>4.7865000000000002</v>
      </c>
      <c r="AA16" s="84">
        <v>9.3336749999999995</v>
      </c>
      <c r="AB16" s="84">
        <v>0</v>
      </c>
      <c r="AC16" s="84">
        <v>0</v>
      </c>
      <c r="AD16" s="84">
        <v>0</v>
      </c>
      <c r="AE16" s="84">
        <v>0</v>
      </c>
      <c r="AF16" s="84">
        <v>0</v>
      </c>
      <c r="AG16" s="84">
        <v>0</v>
      </c>
      <c r="AH16" s="84">
        <v>0</v>
      </c>
      <c r="AI16" s="84">
        <v>0</v>
      </c>
      <c r="AJ16" s="84">
        <v>3</v>
      </c>
      <c r="AK16" s="84">
        <v>1.01</v>
      </c>
      <c r="AL16" s="84">
        <v>9.3249999999999993</v>
      </c>
      <c r="AM16" s="84">
        <v>28.254749999999994</v>
      </c>
      <c r="AN16" s="84">
        <v>6</v>
      </c>
      <c r="AO16" s="84">
        <v>0.3</v>
      </c>
      <c r="AP16" s="84">
        <v>6.1950000000000003</v>
      </c>
      <c r="AQ16" s="84">
        <v>11.151</v>
      </c>
      <c r="AR16" s="84">
        <v>0</v>
      </c>
      <c r="AS16" s="84">
        <v>0</v>
      </c>
      <c r="AT16" s="84">
        <v>0</v>
      </c>
      <c r="AU16" s="84">
        <v>0</v>
      </c>
      <c r="AV16" s="84">
        <v>0</v>
      </c>
      <c r="AW16" s="84">
        <v>0</v>
      </c>
      <c r="AX16" s="84">
        <v>0</v>
      </c>
      <c r="AY16" s="84">
        <v>0</v>
      </c>
      <c r="AZ16" s="84">
        <v>2</v>
      </c>
      <c r="BA16" s="84">
        <v>0.3</v>
      </c>
      <c r="BB16" s="84">
        <v>6.9774999999999991</v>
      </c>
      <c r="BC16" s="84">
        <v>4.1864999999999997</v>
      </c>
      <c r="BD16" s="84">
        <v>5</v>
      </c>
      <c r="BE16" s="84">
        <v>0.19</v>
      </c>
      <c r="BF16" s="84">
        <v>3.0649999999999999</v>
      </c>
      <c r="BG16" s="84">
        <v>2.9117500000000001</v>
      </c>
      <c r="BH16" s="84">
        <v>0</v>
      </c>
      <c r="BI16" s="84">
        <v>0</v>
      </c>
      <c r="BJ16" s="84">
        <v>0</v>
      </c>
      <c r="BK16" s="84">
        <v>0</v>
      </c>
      <c r="BL16" s="84">
        <v>0</v>
      </c>
      <c r="BM16" s="84">
        <v>0</v>
      </c>
      <c r="BN16" s="84">
        <v>0</v>
      </c>
      <c r="BO16" s="84">
        <v>0</v>
      </c>
      <c r="BP16" s="84">
        <v>0</v>
      </c>
      <c r="BQ16" s="84">
        <v>0</v>
      </c>
      <c r="BR16" s="84">
        <v>0</v>
      </c>
      <c r="BS16" s="84">
        <v>0</v>
      </c>
      <c r="BT16" s="84">
        <v>1</v>
      </c>
      <c r="BU16" s="84">
        <v>1.1100000000000001</v>
      </c>
      <c r="BV16" s="84">
        <v>41.7575</v>
      </c>
      <c r="BW16" s="84">
        <v>46.350825000000007</v>
      </c>
      <c r="BX16" s="84">
        <v>0</v>
      </c>
      <c r="BY16" s="84">
        <v>0</v>
      </c>
      <c r="BZ16" s="84">
        <v>0</v>
      </c>
      <c r="CA16" s="84">
        <v>0</v>
      </c>
      <c r="CB16" s="84">
        <v>0</v>
      </c>
      <c r="CC16" s="84">
        <v>0</v>
      </c>
      <c r="CD16" s="84">
        <v>0</v>
      </c>
      <c r="CE16" s="84">
        <v>0</v>
      </c>
      <c r="CF16" s="84">
        <v>0</v>
      </c>
      <c r="CG16" s="84">
        <v>0</v>
      </c>
      <c r="CH16" s="84">
        <v>0</v>
      </c>
      <c r="CI16" s="84">
        <v>0</v>
      </c>
      <c r="CJ16" s="84">
        <v>0</v>
      </c>
      <c r="CK16" s="84">
        <v>0</v>
      </c>
      <c r="CL16" s="84">
        <v>0</v>
      </c>
      <c r="CM16" s="84">
        <v>0</v>
      </c>
      <c r="CN16" s="84">
        <v>0</v>
      </c>
      <c r="CO16" s="84">
        <v>0</v>
      </c>
      <c r="CP16" s="84">
        <v>0</v>
      </c>
      <c r="CQ16" s="84">
        <v>0</v>
      </c>
      <c r="CR16" s="84">
        <v>0</v>
      </c>
      <c r="CS16" s="84">
        <v>0</v>
      </c>
      <c r="CT16" s="84">
        <v>0</v>
      </c>
      <c r="CU16" s="84">
        <v>0</v>
      </c>
      <c r="CV16" s="84">
        <v>0</v>
      </c>
      <c r="CW16" s="84">
        <v>0</v>
      </c>
      <c r="CX16" s="84">
        <v>0</v>
      </c>
      <c r="CY16" s="84">
        <v>0</v>
      </c>
      <c r="CZ16" s="84">
        <v>1</v>
      </c>
      <c r="DA16" s="84">
        <v>1.56</v>
      </c>
      <c r="DB16" s="84">
        <v>16.457000000000001</v>
      </c>
      <c r="DC16" s="84">
        <v>25.672920000000001</v>
      </c>
      <c r="DD16" s="84">
        <v>130.31342000000001</v>
      </c>
      <c r="DE16" s="84">
        <v>0.5</v>
      </c>
      <c r="DF16" s="84">
        <v>4</v>
      </c>
      <c r="DG16" s="84">
        <v>1.5</v>
      </c>
      <c r="DH16" s="84">
        <v>1.5</v>
      </c>
      <c r="DI16" s="84">
        <v>7.5</v>
      </c>
      <c r="DJ16" s="84">
        <v>2</v>
      </c>
      <c r="DK16" s="84">
        <v>2</v>
      </c>
      <c r="DL16" s="84">
        <v>1</v>
      </c>
      <c r="DM16" s="84">
        <v>1</v>
      </c>
      <c r="DN16" s="84">
        <v>1</v>
      </c>
      <c r="DO16" s="84">
        <v>1</v>
      </c>
      <c r="DP16" s="84">
        <v>1</v>
      </c>
      <c r="DQ16" s="84">
        <v>9</v>
      </c>
      <c r="DR16" s="84">
        <v>220</v>
      </c>
      <c r="DS16" s="85">
        <v>403.49476200000004</v>
      </c>
    </row>
    <row r="17" spans="1:123">
      <c r="A17" s="80" t="str">
        <f>VLOOKUP('TaxaLimpeza (Proposta)'!A18,'TaxaLimpeza (Atual)'!A:B,1,FALSE)</f>
        <v>OKA206</v>
      </c>
      <c r="B17" s="75">
        <f>VLOOKUP('TaxaLimpeza (Proposta)'!A18,'TaxaLimpeza (Atual)'!A:B,2,FALSE)-'TaxaLimpeza (Proposta)'!DM18</f>
        <v>-4.1500000000000341</v>
      </c>
      <c r="C17" s="75">
        <f>'TaxaLimpeza (Proposta)'!DM18-'TaxaLimpeza (Proposta)'!DM18*0.9</f>
        <v>26.014999999999986</v>
      </c>
      <c r="D17" s="75">
        <f t="shared" si="0"/>
        <v>21.864999999999952</v>
      </c>
      <c r="F17" s="84" t="s">
        <v>317</v>
      </c>
      <c r="G17" s="84" t="str">
        <v>OKA233</v>
      </c>
      <c r="H17" s="84" t="str">
        <v>Campeche</v>
      </c>
      <c r="I17" s="84" t="str">
        <v>Florianópolis</v>
      </c>
      <c r="J17" s="84" t="str">
        <v>SC</v>
      </c>
      <c r="K17" s="84" t="str">
        <v>Ativo</v>
      </c>
      <c r="L17" s="84">
        <v>1</v>
      </c>
      <c r="M17" s="84">
        <v>0.24</v>
      </c>
      <c r="N17" s="84">
        <v>2.7519999999999998</v>
      </c>
      <c r="O17" s="84">
        <v>0.66047999999999996</v>
      </c>
      <c r="P17" s="84">
        <v>1</v>
      </c>
      <c r="Q17" s="84">
        <v>0.16</v>
      </c>
      <c r="R17" s="84">
        <v>3.5345</v>
      </c>
      <c r="S17" s="84">
        <v>0.56552000000000002</v>
      </c>
      <c r="T17" s="84">
        <v>0</v>
      </c>
      <c r="U17" s="84">
        <v>0</v>
      </c>
      <c r="V17" s="84">
        <v>0</v>
      </c>
      <c r="W17" s="84">
        <v>0</v>
      </c>
      <c r="X17" s="84">
        <v>3</v>
      </c>
      <c r="Y17" s="84">
        <v>0.39</v>
      </c>
      <c r="Z17" s="84">
        <v>4.7865000000000002</v>
      </c>
      <c r="AA17" s="84">
        <v>5.6002049999999999</v>
      </c>
      <c r="AB17" s="84">
        <v>0</v>
      </c>
      <c r="AC17" s="84">
        <v>0</v>
      </c>
      <c r="AD17" s="84">
        <v>0</v>
      </c>
      <c r="AE17" s="84">
        <v>0</v>
      </c>
      <c r="AF17" s="84">
        <v>0</v>
      </c>
      <c r="AG17" s="84">
        <v>0</v>
      </c>
      <c r="AH17" s="84">
        <v>0</v>
      </c>
      <c r="AI17" s="84">
        <v>0</v>
      </c>
      <c r="AJ17" s="84">
        <v>1</v>
      </c>
      <c r="AK17" s="84">
        <v>1.01</v>
      </c>
      <c r="AL17" s="84">
        <v>9.3249999999999993</v>
      </c>
      <c r="AM17" s="84">
        <v>9.4182499999999987</v>
      </c>
      <c r="AN17" s="84">
        <v>2</v>
      </c>
      <c r="AO17" s="84">
        <v>0.3</v>
      </c>
      <c r="AP17" s="84">
        <v>6.1950000000000003</v>
      </c>
      <c r="AQ17" s="84">
        <v>3.7170000000000001</v>
      </c>
      <c r="AR17" s="84">
        <v>0</v>
      </c>
      <c r="AS17" s="84">
        <v>0</v>
      </c>
      <c r="AT17" s="84">
        <v>0</v>
      </c>
      <c r="AU17" s="84">
        <v>0</v>
      </c>
      <c r="AV17" s="84">
        <v>0</v>
      </c>
      <c r="AW17" s="84">
        <v>0</v>
      </c>
      <c r="AX17" s="84">
        <v>0</v>
      </c>
      <c r="AY17" s="84">
        <v>0</v>
      </c>
      <c r="AZ17" s="84">
        <v>2</v>
      </c>
      <c r="BA17" s="84">
        <v>0.3</v>
      </c>
      <c r="BB17" s="84">
        <v>6.9774999999999991</v>
      </c>
      <c r="BC17" s="84">
        <v>4.1864999999999997</v>
      </c>
      <c r="BD17" s="84">
        <v>3</v>
      </c>
      <c r="BE17" s="84">
        <v>0.19</v>
      </c>
      <c r="BF17" s="84">
        <v>3.0649999999999999</v>
      </c>
      <c r="BG17" s="84">
        <v>1.7470500000000002</v>
      </c>
      <c r="BH17" s="84">
        <v>0</v>
      </c>
      <c r="BI17" s="84">
        <v>0</v>
      </c>
      <c r="BJ17" s="84">
        <v>0</v>
      </c>
      <c r="BK17" s="84">
        <v>0</v>
      </c>
      <c r="BL17" s="84">
        <v>0</v>
      </c>
      <c r="BM17" s="84">
        <v>0</v>
      </c>
      <c r="BN17" s="84">
        <v>0</v>
      </c>
      <c r="BO17" s="84">
        <v>0</v>
      </c>
      <c r="BP17" s="84">
        <v>0</v>
      </c>
      <c r="BQ17" s="84">
        <v>0</v>
      </c>
      <c r="BR17" s="84">
        <v>0</v>
      </c>
      <c r="BS17" s="84">
        <v>0</v>
      </c>
      <c r="BT17" s="84">
        <v>1</v>
      </c>
      <c r="BU17" s="84">
        <v>1.1100000000000001</v>
      </c>
      <c r="BV17" s="84">
        <v>41.7575</v>
      </c>
      <c r="BW17" s="84">
        <v>46.350825000000007</v>
      </c>
      <c r="BX17" s="84">
        <v>0</v>
      </c>
      <c r="BY17" s="84">
        <v>0</v>
      </c>
      <c r="BZ17" s="84">
        <v>0</v>
      </c>
      <c r="CA17" s="84">
        <v>0</v>
      </c>
      <c r="CB17" s="84">
        <v>0</v>
      </c>
      <c r="CC17" s="84">
        <v>0</v>
      </c>
      <c r="CD17" s="84">
        <v>0</v>
      </c>
      <c r="CE17" s="84">
        <v>0</v>
      </c>
      <c r="CF17" s="84">
        <v>0</v>
      </c>
      <c r="CG17" s="84">
        <v>0</v>
      </c>
      <c r="CH17" s="84">
        <v>0</v>
      </c>
      <c r="CI17" s="84">
        <v>0</v>
      </c>
      <c r="CJ17" s="84">
        <v>0</v>
      </c>
      <c r="CK17" s="84">
        <v>0</v>
      </c>
      <c r="CL17" s="84">
        <v>0</v>
      </c>
      <c r="CM17" s="84">
        <v>0</v>
      </c>
      <c r="CN17" s="84">
        <v>0</v>
      </c>
      <c r="CO17" s="84">
        <v>0</v>
      </c>
      <c r="CP17" s="84">
        <v>0</v>
      </c>
      <c r="CQ17" s="84">
        <v>0</v>
      </c>
      <c r="CR17" s="84">
        <v>0</v>
      </c>
      <c r="CS17" s="84">
        <v>0</v>
      </c>
      <c r="CT17" s="84">
        <v>0</v>
      </c>
      <c r="CU17" s="84">
        <v>0</v>
      </c>
      <c r="CV17" s="84">
        <v>0</v>
      </c>
      <c r="CW17" s="84">
        <v>0</v>
      </c>
      <c r="CX17" s="84">
        <v>0</v>
      </c>
      <c r="CY17" s="84">
        <v>0</v>
      </c>
      <c r="CZ17" s="84">
        <v>1</v>
      </c>
      <c r="DA17" s="84">
        <v>1.56</v>
      </c>
      <c r="DB17" s="84">
        <v>16.457000000000001</v>
      </c>
      <c r="DC17" s="84">
        <v>25.672920000000001</v>
      </c>
      <c r="DD17" s="84">
        <v>97.918750000000017</v>
      </c>
      <c r="DE17" s="84">
        <v>0.5</v>
      </c>
      <c r="DF17" s="84">
        <v>4</v>
      </c>
      <c r="DG17" s="84">
        <v>1.5</v>
      </c>
      <c r="DH17" s="84">
        <v>1.5</v>
      </c>
      <c r="DI17" s="84">
        <v>7.5</v>
      </c>
      <c r="DJ17" s="84">
        <v>2</v>
      </c>
      <c r="DK17" s="84">
        <v>2</v>
      </c>
      <c r="DL17" s="84">
        <v>1</v>
      </c>
      <c r="DM17" s="84">
        <v>1</v>
      </c>
      <c r="DN17" s="84">
        <v>1</v>
      </c>
      <c r="DO17" s="84">
        <v>1</v>
      </c>
      <c r="DP17" s="84">
        <v>1</v>
      </c>
      <c r="DQ17" s="84">
        <v>9</v>
      </c>
      <c r="DR17" s="84">
        <v>220</v>
      </c>
      <c r="DS17" s="85">
        <v>367.86062500000008</v>
      </c>
    </row>
    <row r="18" spans="1:123">
      <c r="A18" s="80" t="str">
        <f>VLOOKUP('TaxaLimpeza (Proposta)'!A19,'TaxaLimpeza (Atual)'!A:B,1,FALSE)</f>
        <v>OKA210</v>
      </c>
      <c r="B18" s="75">
        <f>VLOOKUP('TaxaLimpeza (Proposta)'!A19,'TaxaLimpeza (Atual)'!A:B,2,FALSE)-'TaxaLimpeza (Proposta)'!DM19</f>
        <v>-251.02963800000003</v>
      </c>
      <c r="C18" s="75">
        <f>'TaxaLimpeza (Proposta)'!DM19-'TaxaLimpeza (Proposta)'!DM19*0.9</f>
        <v>49.102963799999998</v>
      </c>
      <c r="D18" s="75">
        <f t="shared" si="0"/>
        <v>-201.92667420000004</v>
      </c>
      <c r="F18" s="84" t="s">
        <v>318</v>
      </c>
      <c r="G18" s="84" t="str">
        <v>OKA134</v>
      </c>
      <c r="H18" s="84" t="str">
        <v>Campeche</v>
      </c>
      <c r="I18" s="84" t="str">
        <v>Florianópolis</v>
      </c>
      <c r="J18" s="84" t="str">
        <v>SC</v>
      </c>
      <c r="K18" s="84" t="str">
        <v>Ativo</v>
      </c>
      <c r="L18" s="84">
        <v>1</v>
      </c>
      <c r="M18" s="84">
        <v>0.24</v>
      </c>
      <c r="N18" s="84">
        <v>2.7519999999999998</v>
      </c>
      <c r="O18" s="84">
        <v>0.66047999999999996</v>
      </c>
      <c r="P18" s="84">
        <v>1</v>
      </c>
      <c r="Q18" s="84">
        <v>0.16</v>
      </c>
      <c r="R18" s="84">
        <v>3.5345</v>
      </c>
      <c r="S18" s="84">
        <v>0.56552000000000002</v>
      </c>
      <c r="T18" s="84">
        <v>0</v>
      </c>
      <c r="U18" s="84">
        <v>0</v>
      </c>
      <c r="V18" s="84">
        <v>0</v>
      </c>
      <c r="W18" s="84">
        <v>0</v>
      </c>
      <c r="X18" s="84">
        <v>2</v>
      </c>
      <c r="Y18" s="84">
        <v>0.39</v>
      </c>
      <c r="Z18" s="84">
        <v>4.7865000000000002</v>
      </c>
      <c r="AA18" s="84">
        <v>3.7334700000000001</v>
      </c>
      <c r="AB18" s="84">
        <v>0</v>
      </c>
      <c r="AC18" s="84">
        <v>0</v>
      </c>
      <c r="AD18" s="84">
        <v>0</v>
      </c>
      <c r="AE18" s="84">
        <v>0</v>
      </c>
      <c r="AF18" s="84">
        <v>0</v>
      </c>
      <c r="AG18" s="84">
        <v>0</v>
      </c>
      <c r="AH18" s="84">
        <v>0</v>
      </c>
      <c r="AI18" s="84">
        <v>0</v>
      </c>
      <c r="AJ18" s="84">
        <v>1</v>
      </c>
      <c r="AK18" s="84">
        <v>1.01</v>
      </c>
      <c r="AL18" s="84">
        <v>9.3249999999999993</v>
      </c>
      <c r="AM18" s="84">
        <v>9.4182499999999987</v>
      </c>
      <c r="AN18" s="84">
        <v>0</v>
      </c>
      <c r="AO18" s="84">
        <v>0</v>
      </c>
      <c r="AP18" s="84">
        <v>0</v>
      </c>
      <c r="AQ18" s="84">
        <v>0</v>
      </c>
      <c r="AR18" s="84">
        <v>0</v>
      </c>
      <c r="AS18" s="84">
        <v>0</v>
      </c>
      <c r="AT18" s="84">
        <v>0</v>
      </c>
      <c r="AU18" s="84">
        <v>0</v>
      </c>
      <c r="AV18" s="84">
        <v>0</v>
      </c>
      <c r="AW18" s="84">
        <v>0</v>
      </c>
      <c r="AX18" s="84">
        <v>0</v>
      </c>
      <c r="AY18" s="84">
        <v>0</v>
      </c>
      <c r="AZ18" s="84">
        <v>2</v>
      </c>
      <c r="BA18" s="84">
        <v>0.3</v>
      </c>
      <c r="BB18" s="84">
        <v>6.9774999999999991</v>
      </c>
      <c r="BC18" s="84">
        <v>4.1864999999999997</v>
      </c>
      <c r="BD18" s="84">
        <v>2</v>
      </c>
      <c r="BE18" s="84">
        <v>0.19</v>
      </c>
      <c r="BF18" s="84">
        <v>3.0649999999999999</v>
      </c>
      <c r="BG18" s="84">
        <v>1.1647000000000001</v>
      </c>
      <c r="BH18" s="84">
        <v>0</v>
      </c>
      <c r="BI18" s="84">
        <v>0</v>
      </c>
      <c r="BJ18" s="84">
        <v>0</v>
      </c>
      <c r="BK18" s="84">
        <v>0</v>
      </c>
      <c r="BL18" s="84">
        <v>0</v>
      </c>
      <c r="BM18" s="84">
        <v>0</v>
      </c>
      <c r="BN18" s="84">
        <v>0</v>
      </c>
      <c r="BO18" s="84">
        <v>0</v>
      </c>
      <c r="BP18" s="84">
        <v>0</v>
      </c>
      <c r="BQ18" s="84">
        <v>0</v>
      </c>
      <c r="BR18" s="84">
        <v>0</v>
      </c>
      <c r="BS18" s="84">
        <v>0</v>
      </c>
      <c r="BT18" s="84">
        <v>0</v>
      </c>
      <c r="BU18" s="84">
        <v>0</v>
      </c>
      <c r="BV18" s="84">
        <v>0</v>
      </c>
      <c r="BW18" s="84">
        <v>0</v>
      </c>
      <c r="BX18" s="84">
        <v>0</v>
      </c>
      <c r="BY18" s="84">
        <v>0</v>
      </c>
      <c r="BZ18" s="84">
        <v>0</v>
      </c>
      <c r="CA18" s="84">
        <v>0</v>
      </c>
      <c r="CB18" s="84">
        <v>0</v>
      </c>
      <c r="CC18" s="84">
        <v>0</v>
      </c>
      <c r="CD18" s="84">
        <v>0</v>
      </c>
      <c r="CE18" s="84">
        <v>0</v>
      </c>
      <c r="CF18" s="84">
        <v>1</v>
      </c>
      <c r="CG18" s="84" t="str">
        <v>Nome ou Peso não encontrado. Utilizado o peso do Edredom Casal como referência</v>
      </c>
      <c r="CH18" s="84">
        <v>36.594999999999999</v>
      </c>
      <c r="CI18" s="84">
        <v>40.620450000000005</v>
      </c>
      <c r="CJ18" s="84">
        <v>0</v>
      </c>
      <c r="CK18" s="84">
        <v>0</v>
      </c>
      <c r="CL18" s="84">
        <v>0</v>
      </c>
      <c r="CM18" s="84">
        <v>0</v>
      </c>
      <c r="CN18" s="84">
        <v>0</v>
      </c>
      <c r="CO18" s="84">
        <v>0</v>
      </c>
      <c r="CP18" s="84">
        <v>0</v>
      </c>
      <c r="CQ18" s="84">
        <v>0</v>
      </c>
      <c r="CR18" s="84">
        <v>0</v>
      </c>
      <c r="CS18" s="84">
        <v>0</v>
      </c>
      <c r="CT18" s="84">
        <v>0</v>
      </c>
      <c r="CU18" s="84">
        <v>0</v>
      </c>
      <c r="CV18" s="84">
        <v>0</v>
      </c>
      <c r="CW18" s="84">
        <v>0</v>
      </c>
      <c r="CX18" s="84">
        <v>0</v>
      </c>
      <c r="CY18" s="84">
        <v>0</v>
      </c>
      <c r="CZ18" s="84">
        <v>0</v>
      </c>
      <c r="DA18" s="84">
        <v>0</v>
      </c>
      <c r="DB18" s="84">
        <v>0</v>
      </c>
      <c r="DC18" s="84">
        <v>0</v>
      </c>
      <c r="DD18" s="84">
        <v>60.349370000000008</v>
      </c>
      <c r="DE18" s="84">
        <v>0.5</v>
      </c>
      <c r="DF18" s="84">
        <v>4</v>
      </c>
      <c r="DG18" s="84">
        <v>1.5</v>
      </c>
      <c r="DH18" s="84">
        <v>1.5</v>
      </c>
      <c r="DI18" s="84">
        <v>7.5</v>
      </c>
      <c r="DJ18" s="84">
        <v>2</v>
      </c>
      <c r="DK18" s="84">
        <v>2</v>
      </c>
      <c r="DL18" s="84">
        <v>1</v>
      </c>
      <c r="DM18" s="84">
        <v>1</v>
      </c>
      <c r="DN18" s="84">
        <v>1</v>
      </c>
      <c r="DO18" s="84">
        <v>1</v>
      </c>
      <c r="DP18" s="84">
        <v>1</v>
      </c>
      <c r="DQ18" s="84">
        <v>9</v>
      </c>
      <c r="DR18" s="84">
        <v>220</v>
      </c>
      <c r="DS18" s="85">
        <v>326.53430700000007</v>
      </c>
    </row>
    <row r="19" spans="1:123">
      <c r="A19" s="80" t="str">
        <f>VLOOKUP('TaxaLimpeza (Proposta)'!A20,'TaxaLimpeza (Atual)'!A:B,1,FALSE)</f>
        <v>OKA213</v>
      </c>
      <c r="B19" s="75">
        <f>VLOOKUP('TaxaLimpeza (Proposta)'!A20,'TaxaLimpeza (Atual)'!A:B,2,FALSE)-'TaxaLimpeza (Proposta)'!DM20</f>
        <v>-9.1500000000000341</v>
      </c>
      <c r="C19" s="75">
        <f>'TaxaLimpeza (Proposta)'!DM20-'TaxaLimpeza (Proposta)'!DM20*0.9</f>
        <v>26.014999999999986</v>
      </c>
      <c r="D19" s="75">
        <f t="shared" si="0"/>
        <v>16.864999999999952</v>
      </c>
      <c r="F19" s="84" t="s">
        <v>319</v>
      </c>
      <c r="G19" s="84" t="str">
        <v>OKA139</v>
      </c>
      <c r="H19" s="84" t="str">
        <v>Campeche</v>
      </c>
      <c r="I19" s="84" t="str">
        <v>Florianópolis</v>
      </c>
      <c r="J19" s="84" t="str">
        <v>SC</v>
      </c>
      <c r="K19" s="84" t="str">
        <v>Ativo</v>
      </c>
      <c r="L19" s="84">
        <v>2</v>
      </c>
      <c r="M19" s="84">
        <v>0.24</v>
      </c>
      <c r="N19" s="84">
        <v>2.7519999999999998</v>
      </c>
      <c r="O19" s="84">
        <v>1.3209599999999999</v>
      </c>
      <c r="P19" s="84">
        <v>2</v>
      </c>
      <c r="Q19" s="84">
        <v>0.16</v>
      </c>
      <c r="R19" s="84">
        <v>3.5345</v>
      </c>
      <c r="S19" s="84">
        <v>1.13104</v>
      </c>
      <c r="T19" s="84">
        <v>2</v>
      </c>
      <c r="U19" s="84">
        <v>6.8000000000000005E-2</v>
      </c>
      <c r="V19" s="84">
        <v>2.7519999999999998</v>
      </c>
      <c r="W19" s="84">
        <v>0.37427199999999999</v>
      </c>
      <c r="X19" s="84">
        <v>4</v>
      </c>
      <c r="Y19" s="84">
        <v>0.39</v>
      </c>
      <c r="Z19" s="84">
        <v>4.7865000000000002</v>
      </c>
      <c r="AA19" s="84">
        <v>7.4669400000000001</v>
      </c>
      <c r="AB19" s="84">
        <v>1</v>
      </c>
      <c r="AC19" s="84">
        <v>0.1</v>
      </c>
      <c r="AD19" s="84">
        <v>3.5345</v>
      </c>
      <c r="AE19" s="84">
        <v>0.35345000000000004</v>
      </c>
      <c r="AF19" s="84">
        <v>1</v>
      </c>
      <c r="AG19" s="84">
        <v>0.04</v>
      </c>
      <c r="AH19" s="84">
        <v>3.5345</v>
      </c>
      <c r="AI19" s="84">
        <v>0.14138000000000001</v>
      </c>
      <c r="AJ19" s="84">
        <v>2</v>
      </c>
      <c r="AK19" s="84">
        <v>1.01</v>
      </c>
      <c r="AL19" s="84">
        <v>9.3249999999999993</v>
      </c>
      <c r="AM19" s="84">
        <v>18.836499999999997</v>
      </c>
      <c r="AN19" s="84">
        <v>0</v>
      </c>
      <c r="AO19" s="84">
        <v>0</v>
      </c>
      <c r="AP19" s="84">
        <v>0</v>
      </c>
      <c r="AQ19" s="84">
        <v>0</v>
      </c>
      <c r="AR19" s="84">
        <v>2</v>
      </c>
      <c r="AS19" s="84">
        <v>0.3</v>
      </c>
      <c r="AT19" s="84">
        <v>8.5425000000000004</v>
      </c>
      <c r="AU19" s="84">
        <v>5.1254999999999997</v>
      </c>
      <c r="AV19" s="84">
        <v>0</v>
      </c>
      <c r="AW19" s="84">
        <v>0</v>
      </c>
      <c r="AX19" s="84">
        <v>0</v>
      </c>
      <c r="AY19" s="84">
        <v>0</v>
      </c>
      <c r="AZ19" s="84">
        <v>2</v>
      </c>
      <c r="BA19" s="84">
        <v>0.3</v>
      </c>
      <c r="BB19" s="84">
        <v>6.9774999999999991</v>
      </c>
      <c r="BC19" s="84">
        <v>4.1864999999999997</v>
      </c>
      <c r="BD19" s="84">
        <v>4</v>
      </c>
      <c r="BE19" s="84">
        <v>0.19</v>
      </c>
      <c r="BF19" s="84">
        <v>3.0649999999999999</v>
      </c>
      <c r="BG19" s="84">
        <v>2.3294000000000001</v>
      </c>
      <c r="BH19" s="84">
        <v>0</v>
      </c>
      <c r="BI19" s="84">
        <v>0</v>
      </c>
      <c r="BJ19" s="84">
        <v>0</v>
      </c>
      <c r="BK19" s="84">
        <v>0</v>
      </c>
      <c r="BL19" s="84">
        <v>0</v>
      </c>
      <c r="BM19" s="84">
        <v>0</v>
      </c>
      <c r="BN19" s="84">
        <v>0</v>
      </c>
      <c r="BO19" s="84">
        <v>0</v>
      </c>
      <c r="BP19" s="84">
        <v>0</v>
      </c>
      <c r="BQ19" s="84">
        <v>0</v>
      </c>
      <c r="BR19" s="84">
        <v>0</v>
      </c>
      <c r="BS19" s="84">
        <v>0</v>
      </c>
      <c r="BT19" s="84">
        <v>0</v>
      </c>
      <c r="BU19" s="84">
        <v>0</v>
      </c>
      <c r="BV19" s="84">
        <v>0</v>
      </c>
      <c r="BW19" s="84">
        <v>0</v>
      </c>
      <c r="BX19" s="84">
        <v>0</v>
      </c>
      <c r="BY19" s="84">
        <v>0</v>
      </c>
      <c r="BZ19" s="84">
        <v>0</v>
      </c>
      <c r="CA19" s="84">
        <v>0</v>
      </c>
      <c r="CB19" s="84">
        <v>0</v>
      </c>
      <c r="CC19" s="84">
        <v>0</v>
      </c>
      <c r="CD19" s="84">
        <v>0</v>
      </c>
      <c r="CE19" s="84">
        <v>0</v>
      </c>
      <c r="CF19" s="84">
        <v>0</v>
      </c>
      <c r="CG19" s="84">
        <v>0</v>
      </c>
      <c r="CH19" s="84">
        <v>0</v>
      </c>
      <c r="CI19" s="84">
        <v>0</v>
      </c>
      <c r="CJ19" s="84">
        <v>0</v>
      </c>
      <c r="CK19" s="84">
        <v>0</v>
      </c>
      <c r="CL19" s="84">
        <v>0</v>
      </c>
      <c r="CM19" s="84">
        <v>0</v>
      </c>
      <c r="CN19" s="84">
        <v>0</v>
      </c>
      <c r="CO19" s="84">
        <v>0</v>
      </c>
      <c r="CP19" s="84">
        <v>0</v>
      </c>
      <c r="CQ19" s="84">
        <v>0</v>
      </c>
      <c r="CR19" s="84">
        <v>0</v>
      </c>
      <c r="CS19" s="84">
        <v>0</v>
      </c>
      <c r="CT19" s="84">
        <v>0</v>
      </c>
      <c r="CU19" s="84">
        <v>0</v>
      </c>
      <c r="CV19" s="84">
        <v>0</v>
      </c>
      <c r="CW19" s="84">
        <v>0</v>
      </c>
      <c r="CX19" s="84">
        <v>0</v>
      </c>
      <c r="CY19" s="84">
        <v>0</v>
      </c>
      <c r="CZ19" s="84">
        <v>0</v>
      </c>
      <c r="DA19" s="84">
        <v>0</v>
      </c>
      <c r="DB19" s="84">
        <v>0</v>
      </c>
      <c r="DC19" s="84">
        <v>0</v>
      </c>
      <c r="DD19" s="84">
        <v>41.265942000000003</v>
      </c>
      <c r="DE19" s="84">
        <v>0.5</v>
      </c>
      <c r="DF19" s="84">
        <v>4</v>
      </c>
      <c r="DG19" s="84">
        <v>1.5</v>
      </c>
      <c r="DH19" s="84">
        <v>1.5</v>
      </c>
      <c r="DI19" s="84">
        <v>7.5</v>
      </c>
      <c r="DJ19" s="84">
        <v>2</v>
      </c>
      <c r="DK19" s="84">
        <v>2</v>
      </c>
      <c r="DL19" s="84">
        <v>1</v>
      </c>
      <c r="DM19" s="84">
        <v>1</v>
      </c>
      <c r="DN19" s="84">
        <v>1</v>
      </c>
      <c r="DO19" s="84">
        <v>1</v>
      </c>
      <c r="DP19" s="84">
        <v>1</v>
      </c>
      <c r="DQ19" s="84">
        <v>9</v>
      </c>
      <c r="DR19" s="84">
        <v>220</v>
      </c>
      <c r="DS19" s="85">
        <v>305.54253620000003</v>
      </c>
    </row>
    <row r="20" spans="1:123">
      <c r="A20" s="80" t="str">
        <f>VLOOKUP('TaxaLimpeza (Proposta)'!A21,'TaxaLimpeza (Atual)'!A:B,1,FALSE)</f>
        <v>OKA216</v>
      </c>
      <c r="B20" s="75">
        <f>VLOOKUP('TaxaLimpeza (Proposta)'!A21,'TaxaLimpeza (Atual)'!A:B,2,FALSE)-'TaxaLimpeza (Proposta)'!DM21</f>
        <v>-197.78029900000001</v>
      </c>
      <c r="C20" s="75">
        <f>'TaxaLimpeza (Proposta)'!DM21-'TaxaLimpeza (Proposta)'!DM21*0.9</f>
        <v>43.778029899999979</v>
      </c>
      <c r="D20" s="75">
        <f t="shared" si="0"/>
        <v>-154.00226910000003</v>
      </c>
      <c r="F20" s="84" t="s">
        <v>320</v>
      </c>
      <c r="G20" s="84" t="str">
        <v>OKA142</v>
      </c>
      <c r="H20" s="84" t="str">
        <v>Campeche</v>
      </c>
      <c r="I20" s="84" t="str">
        <v>Florianópolis</v>
      </c>
      <c r="J20" s="84" t="str">
        <v>SC</v>
      </c>
      <c r="K20" s="84" t="str">
        <v>Ativo</v>
      </c>
      <c r="L20" s="84">
        <v>1</v>
      </c>
      <c r="M20" s="84">
        <v>0.24</v>
      </c>
      <c r="N20" s="84">
        <v>2.7519999999999998</v>
      </c>
      <c r="O20" s="84">
        <v>0.66047999999999996</v>
      </c>
      <c r="P20" s="84">
        <v>1</v>
      </c>
      <c r="Q20" s="84">
        <v>0.16</v>
      </c>
      <c r="R20" s="84">
        <v>3.5345</v>
      </c>
      <c r="S20" s="84">
        <v>0.56552000000000002</v>
      </c>
      <c r="T20" s="84">
        <v>0</v>
      </c>
      <c r="U20" s="84">
        <v>0</v>
      </c>
      <c r="V20" s="84">
        <v>0</v>
      </c>
      <c r="W20" s="84">
        <v>0</v>
      </c>
      <c r="X20" s="84">
        <v>4</v>
      </c>
      <c r="Y20" s="84">
        <v>0.39</v>
      </c>
      <c r="Z20" s="84">
        <v>4.7865000000000002</v>
      </c>
      <c r="AA20" s="84">
        <v>7.4669400000000001</v>
      </c>
      <c r="AB20" s="84">
        <v>0</v>
      </c>
      <c r="AC20" s="84">
        <v>0</v>
      </c>
      <c r="AD20" s="84">
        <v>0</v>
      </c>
      <c r="AE20" s="84">
        <v>0</v>
      </c>
      <c r="AF20" s="84">
        <v>0</v>
      </c>
      <c r="AG20" s="84">
        <v>0</v>
      </c>
      <c r="AH20" s="84">
        <v>0</v>
      </c>
      <c r="AI20" s="84">
        <v>0</v>
      </c>
      <c r="AJ20" s="84">
        <v>2</v>
      </c>
      <c r="AK20" s="84">
        <v>1.01</v>
      </c>
      <c r="AL20" s="84">
        <v>9.3249999999999993</v>
      </c>
      <c r="AM20" s="84">
        <v>18.836499999999997</v>
      </c>
      <c r="AN20" s="84">
        <v>0</v>
      </c>
      <c r="AO20" s="84">
        <v>0</v>
      </c>
      <c r="AP20" s="84">
        <v>0</v>
      </c>
      <c r="AQ20" s="84">
        <v>0</v>
      </c>
      <c r="AR20" s="84">
        <v>0</v>
      </c>
      <c r="AS20" s="84">
        <v>0</v>
      </c>
      <c r="AT20" s="84">
        <v>0</v>
      </c>
      <c r="AU20" s="84">
        <v>0</v>
      </c>
      <c r="AV20" s="84">
        <v>0</v>
      </c>
      <c r="AW20" s="84">
        <v>0</v>
      </c>
      <c r="AX20" s="84">
        <v>0</v>
      </c>
      <c r="AY20" s="84">
        <v>0</v>
      </c>
      <c r="AZ20" s="84">
        <v>4</v>
      </c>
      <c r="BA20" s="84">
        <v>0.3</v>
      </c>
      <c r="BB20" s="84">
        <v>6.9774999999999991</v>
      </c>
      <c r="BC20" s="84">
        <v>8.3729999999999993</v>
      </c>
      <c r="BD20" s="84">
        <v>4</v>
      </c>
      <c r="BE20" s="84">
        <v>0.19</v>
      </c>
      <c r="BF20" s="84">
        <v>3.0649999999999999</v>
      </c>
      <c r="BG20" s="84">
        <v>2.3294000000000001</v>
      </c>
      <c r="BH20" s="84">
        <v>0</v>
      </c>
      <c r="BI20" s="84">
        <v>0</v>
      </c>
      <c r="BJ20" s="84">
        <v>0</v>
      </c>
      <c r="BK20" s="84">
        <v>0</v>
      </c>
      <c r="BL20" s="84">
        <v>0</v>
      </c>
      <c r="BM20" s="84">
        <v>0</v>
      </c>
      <c r="BN20" s="84">
        <v>0</v>
      </c>
      <c r="BO20" s="84">
        <v>0</v>
      </c>
      <c r="BP20" s="84">
        <v>0</v>
      </c>
      <c r="BQ20" s="84">
        <v>0</v>
      </c>
      <c r="BR20" s="84">
        <v>0</v>
      </c>
      <c r="BS20" s="84">
        <v>0</v>
      </c>
      <c r="BT20" s="84">
        <v>0</v>
      </c>
      <c r="BU20" s="84">
        <v>0</v>
      </c>
      <c r="BV20" s="84">
        <v>0</v>
      </c>
      <c r="BW20" s="84">
        <v>0</v>
      </c>
      <c r="BX20" s="84">
        <v>0</v>
      </c>
      <c r="BY20" s="84">
        <v>0</v>
      </c>
      <c r="BZ20" s="84">
        <v>0</v>
      </c>
      <c r="CA20" s="84">
        <v>0</v>
      </c>
      <c r="CB20" s="84">
        <v>0</v>
      </c>
      <c r="CC20" s="84">
        <v>0</v>
      </c>
      <c r="CD20" s="84">
        <v>0</v>
      </c>
      <c r="CE20" s="84">
        <v>0</v>
      </c>
      <c r="CF20" s="84">
        <v>0</v>
      </c>
      <c r="CG20" s="84">
        <v>0</v>
      </c>
      <c r="CH20" s="84">
        <v>0</v>
      </c>
      <c r="CI20" s="84">
        <v>0</v>
      </c>
      <c r="CJ20" s="84">
        <v>0</v>
      </c>
      <c r="CK20" s="84">
        <v>0</v>
      </c>
      <c r="CL20" s="84">
        <v>0</v>
      </c>
      <c r="CM20" s="84">
        <v>0</v>
      </c>
      <c r="CN20" s="84">
        <v>0</v>
      </c>
      <c r="CO20" s="84">
        <v>0</v>
      </c>
      <c r="CP20" s="84">
        <v>0</v>
      </c>
      <c r="CQ20" s="84">
        <v>0</v>
      </c>
      <c r="CR20" s="84">
        <v>0</v>
      </c>
      <c r="CS20" s="84">
        <v>0</v>
      </c>
      <c r="CT20" s="84">
        <v>0</v>
      </c>
      <c r="CU20" s="84">
        <v>0</v>
      </c>
      <c r="CV20" s="84">
        <v>0</v>
      </c>
      <c r="CW20" s="84">
        <v>0</v>
      </c>
      <c r="CX20" s="84">
        <v>0</v>
      </c>
      <c r="CY20" s="84">
        <v>0</v>
      </c>
      <c r="CZ20" s="84">
        <v>0</v>
      </c>
      <c r="DA20" s="84">
        <v>0</v>
      </c>
      <c r="DB20" s="84">
        <v>0</v>
      </c>
      <c r="DC20" s="84">
        <v>0</v>
      </c>
      <c r="DD20" s="84">
        <v>38.231839999999998</v>
      </c>
      <c r="DE20" s="84">
        <v>0.5</v>
      </c>
      <c r="DF20" s="84">
        <v>4</v>
      </c>
      <c r="DG20" s="84">
        <v>1.5</v>
      </c>
      <c r="DH20" s="84">
        <v>1.5</v>
      </c>
      <c r="DI20" s="84">
        <v>7.5</v>
      </c>
      <c r="DJ20" s="84">
        <v>2</v>
      </c>
      <c r="DK20" s="84">
        <v>2</v>
      </c>
      <c r="DL20" s="84">
        <v>1</v>
      </c>
      <c r="DM20" s="84">
        <v>1</v>
      </c>
      <c r="DN20" s="84">
        <v>1</v>
      </c>
      <c r="DO20" s="84">
        <v>1</v>
      </c>
      <c r="DP20" s="84">
        <v>1</v>
      </c>
      <c r="DQ20" s="84">
        <v>9</v>
      </c>
      <c r="DR20" s="84">
        <v>220</v>
      </c>
      <c r="DS20" s="85">
        <v>302.20502399999998</v>
      </c>
    </row>
    <row r="21" spans="1:123">
      <c r="A21" s="80" t="str">
        <f>VLOOKUP('TaxaLimpeza (Proposta)'!A22,'TaxaLimpeza (Atual)'!A:B,1,FALSE)</f>
        <v>OKA224</v>
      </c>
      <c r="B21" s="75">
        <f>VLOOKUP('TaxaLimpeza (Proposta)'!A22,'TaxaLimpeza (Atual)'!A:B,2,FALSE)-'TaxaLimpeza (Proposta)'!DM22</f>
        <v>-367.96335750000003</v>
      </c>
      <c r="C21" s="75">
        <f>'TaxaLimpeza (Proposta)'!DM22-'TaxaLimpeza (Proposta)'!DM22*0.9</f>
        <v>54.59633574999998</v>
      </c>
      <c r="D21" s="75">
        <f t="shared" si="0"/>
        <v>-313.36702175000005</v>
      </c>
      <c r="F21" s="84" t="s">
        <v>321</v>
      </c>
      <c r="G21" s="84" t="str">
        <v>OKA206</v>
      </c>
      <c r="H21" s="84" t="str">
        <v>Campeche</v>
      </c>
      <c r="I21" s="84" t="str">
        <v>Florianópolis</v>
      </c>
      <c r="J21" s="84" t="str">
        <v>SC</v>
      </c>
      <c r="K21" s="84" t="str">
        <v>Ativo</v>
      </c>
      <c r="L21" s="84">
        <v>0</v>
      </c>
      <c r="M21" s="84">
        <v>0</v>
      </c>
      <c r="N21" s="84">
        <v>0</v>
      </c>
      <c r="O21" s="84">
        <v>0</v>
      </c>
      <c r="P21" s="84">
        <v>0</v>
      </c>
      <c r="Q21" s="84">
        <v>0</v>
      </c>
      <c r="R21" s="84">
        <v>0</v>
      </c>
      <c r="S21" s="84">
        <v>0</v>
      </c>
      <c r="T21" s="84">
        <v>0</v>
      </c>
      <c r="U21" s="84">
        <v>0</v>
      </c>
      <c r="V21" s="84">
        <v>0</v>
      </c>
      <c r="W21" s="84">
        <v>0</v>
      </c>
      <c r="X21" s="84">
        <v>0</v>
      </c>
      <c r="Y21" s="84">
        <v>0</v>
      </c>
      <c r="Z21" s="84">
        <v>0</v>
      </c>
      <c r="AA21" s="84">
        <v>0</v>
      </c>
      <c r="AB21" s="84">
        <v>0</v>
      </c>
      <c r="AC21" s="84">
        <v>0</v>
      </c>
      <c r="AD21" s="84">
        <v>0</v>
      </c>
      <c r="AE21" s="84">
        <v>0</v>
      </c>
      <c r="AF21" s="84">
        <v>0</v>
      </c>
      <c r="AG21" s="84">
        <v>0</v>
      </c>
      <c r="AH21" s="84">
        <v>0</v>
      </c>
      <c r="AI21" s="84">
        <v>0</v>
      </c>
      <c r="AJ21" s="84">
        <v>0</v>
      </c>
      <c r="AK21" s="84">
        <v>0</v>
      </c>
      <c r="AL21" s="84">
        <v>0</v>
      </c>
      <c r="AM21" s="84">
        <v>0</v>
      </c>
      <c r="AN21" s="84">
        <v>0</v>
      </c>
      <c r="AO21" s="84">
        <v>0</v>
      </c>
      <c r="AP21" s="84">
        <v>0</v>
      </c>
      <c r="AQ21" s="84">
        <v>0</v>
      </c>
      <c r="AR21" s="84">
        <v>0</v>
      </c>
      <c r="AS21" s="84">
        <v>0</v>
      </c>
      <c r="AT21" s="84">
        <v>0</v>
      </c>
      <c r="AU21" s="84">
        <v>0</v>
      </c>
      <c r="AV21" s="84">
        <v>0</v>
      </c>
      <c r="AW21" s="84">
        <v>0</v>
      </c>
      <c r="AX21" s="84">
        <v>0</v>
      </c>
      <c r="AY21" s="84">
        <v>0</v>
      </c>
      <c r="AZ21" s="84">
        <v>0</v>
      </c>
      <c r="BA21" s="84">
        <v>0</v>
      </c>
      <c r="BB21" s="84">
        <v>0</v>
      </c>
      <c r="BC21" s="84">
        <v>0</v>
      </c>
      <c r="BD21" s="84">
        <v>0</v>
      </c>
      <c r="BE21" s="84">
        <v>0</v>
      </c>
      <c r="BF21" s="84">
        <v>0</v>
      </c>
      <c r="BG21" s="84">
        <v>0</v>
      </c>
      <c r="BH21" s="84">
        <v>0</v>
      </c>
      <c r="BI21" s="84">
        <v>0</v>
      </c>
      <c r="BJ21" s="84">
        <v>0</v>
      </c>
      <c r="BK21" s="84">
        <v>0</v>
      </c>
      <c r="BL21" s="84">
        <v>0</v>
      </c>
      <c r="BM21" s="84">
        <v>0</v>
      </c>
      <c r="BN21" s="84">
        <v>0</v>
      </c>
      <c r="BO21" s="84">
        <v>0</v>
      </c>
      <c r="BP21" s="84">
        <v>0</v>
      </c>
      <c r="BQ21" s="84">
        <v>0</v>
      </c>
      <c r="BR21" s="84">
        <v>0</v>
      </c>
      <c r="BS21" s="84">
        <v>0</v>
      </c>
      <c r="BT21" s="84">
        <v>0</v>
      </c>
      <c r="BU21" s="84">
        <v>0</v>
      </c>
      <c r="BV21" s="84">
        <v>0</v>
      </c>
      <c r="BW21" s="84">
        <v>0</v>
      </c>
      <c r="BX21" s="84">
        <v>0</v>
      </c>
      <c r="BY21" s="84">
        <v>0</v>
      </c>
      <c r="BZ21" s="84">
        <v>0</v>
      </c>
      <c r="CA21" s="84">
        <v>0</v>
      </c>
      <c r="CB21" s="84">
        <v>0</v>
      </c>
      <c r="CC21" s="84">
        <v>0</v>
      </c>
      <c r="CD21" s="84">
        <v>0</v>
      </c>
      <c r="CE21" s="84">
        <v>0</v>
      </c>
      <c r="CF21" s="84">
        <v>0</v>
      </c>
      <c r="CG21" s="84">
        <v>0</v>
      </c>
      <c r="CH21" s="84">
        <v>0</v>
      </c>
      <c r="CI21" s="84">
        <v>0</v>
      </c>
      <c r="CJ21" s="84">
        <v>0</v>
      </c>
      <c r="CK21" s="84">
        <v>0</v>
      </c>
      <c r="CL21" s="84">
        <v>0</v>
      </c>
      <c r="CM21" s="84">
        <v>0</v>
      </c>
      <c r="CN21" s="84">
        <v>0</v>
      </c>
      <c r="CO21" s="84">
        <v>0</v>
      </c>
      <c r="CP21" s="84">
        <v>0</v>
      </c>
      <c r="CQ21" s="84">
        <v>0</v>
      </c>
      <c r="CR21" s="84">
        <v>0</v>
      </c>
      <c r="CS21" s="84">
        <v>0</v>
      </c>
      <c r="CT21" s="84">
        <v>0</v>
      </c>
      <c r="CU21" s="84">
        <v>0</v>
      </c>
      <c r="CV21" s="84">
        <v>0</v>
      </c>
      <c r="CW21" s="84">
        <v>0</v>
      </c>
      <c r="CX21" s="84">
        <v>0</v>
      </c>
      <c r="CY21" s="84">
        <v>0</v>
      </c>
      <c r="CZ21" s="84">
        <v>0</v>
      </c>
      <c r="DA21" s="84">
        <v>0</v>
      </c>
      <c r="DB21" s="84">
        <v>0</v>
      </c>
      <c r="DC21" s="84">
        <v>0</v>
      </c>
      <c r="DD21" s="84">
        <v>0</v>
      </c>
      <c r="DE21" s="84">
        <v>0.5</v>
      </c>
      <c r="DF21" s="84">
        <v>4</v>
      </c>
      <c r="DG21" s="84">
        <v>1.5</v>
      </c>
      <c r="DH21" s="84">
        <v>1.5</v>
      </c>
      <c r="DI21" s="84">
        <v>7.5</v>
      </c>
      <c r="DJ21" s="84">
        <v>2</v>
      </c>
      <c r="DK21" s="84">
        <v>2</v>
      </c>
      <c r="DL21" s="84">
        <v>1</v>
      </c>
      <c r="DM21" s="84">
        <v>1</v>
      </c>
      <c r="DN21" s="84">
        <v>1</v>
      </c>
      <c r="DO21" s="84">
        <v>1</v>
      </c>
      <c r="DP21" s="84">
        <v>1</v>
      </c>
      <c r="DQ21" s="84">
        <v>9</v>
      </c>
      <c r="DR21" s="84">
        <v>220</v>
      </c>
      <c r="DS21" s="85">
        <v>260.15000000000003</v>
      </c>
    </row>
    <row r="22" spans="1:123" ht="13.5" thickBot="1">
      <c r="A22" s="81" t="str">
        <f>VLOOKUP('TaxaLimpeza (Proposta)'!A23,'TaxaLimpeza (Atual)'!A:B,1,FALSE)</f>
        <v>OKA233</v>
      </c>
      <c r="B22" s="76">
        <f>VLOOKUP('TaxaLimpeza (Proposta)'!A23,'TaxaLimpeza (Atual)'!A:B,2,FALSE)-'TaxaLimpeza (Proposta)'!DM23</f>
        <v>-67.860625000000084</v>
      </c>
      <c r="C22" s="76">
        <f>'TaxaLimpeza (Proposta)'!DM23-'TaxaLimpeza (Proposta)'!DM23*0.9</f>
        <v>36.786062500000014</v>
      </c>
      <c r="D22" s="76">
        <f t="shared" si="0"/>
        <v>-31.07456250000007</v>
      </c>
      <c r="F22" s="86" t="s">
        <v>322</v>
      </c>
      <c r="G22" s="86" t="str">
        <v>OKA213</v>
      </c>
      <c r="H22" s="86" t="str">
        <v>Campeche</v>
      </c>
      <c r="I22" s="86" t="str">
        <v>Florianópolis</v>
      </c>
      <c r="J22" s="86" t="str">
        <v>SC</v>
      </c>
      <c r="K22" s="86" t="str">
        <v>Ativo</v>
      </c>
      <c r="L22" s="86">
        <v>0</v>
      </c>
      <c r="M22" s="86">
        <v>0</v>
      </c>
      <c r="N22" s="86">
        <v>0</v>
      </c>
      <c r="O22" s="86">
        <v>0</v>
      </c>
      <c r="P22" s="86">
        <v>0</v>
      </c>
      <c r="Q22" s="86">
        <v>0</v>
      </c>
      <c r="R22" s="86">
        <v>0</v>
      </c>
      <c r="S22" s="86">
        <v>0</v>
      </c>
      <c r="T22" s="86">
        <v>0</v>
      </c>
      <c r="U22" s="86">
        <v>0</v>
      </c>
      <c r="V22" s="86">
        <v>0</v>
      </c>
      <c r="W22" s="86">
        <v>0</v>
      </c>
      <c r="X22" s="86">
        <v>0</v>
      </c>
      <c r="Y22" s="86">
        <v>0</v>
      </c>
      <c r="Z22" s="86">
        <v>0</v>
      </c>
      <c r="AA22" s="86">
        <v>0</v>
      </c>
      <c r="AB22" s="86">
        <v>0</v>
      </c>
      <c r="AC22" s="86">
        <v>0</v>
      </c>
      <c r="AD22" s="86">
        <v>0</v>
      </c>
      <c r="AE22" s="86">
        <v>0</v>
      </c>
      <c r="AF22" s="86">
        <v>0</v>
      </c>
      <c r="AG22" s="86">
        <v>0</v>
      </c>
      <c r="AH22" s="86">
        <v>0</v>
      </c>
      <c r="AI22" s="86">
        <v>0</v>
      </c>
      <c r="AJ22" s="86">
        <v>0</v>
      </c>
      <c r="AK22" s="86">
        <v>0</v>
      </c>
      <c r="AL22" s="86">
        <v>0</v>
      </c>
      <c r="AM22" s="86">
        <v>0</v>
      </c>
      <c r="AN22" s="86">
        <v>0</v>
      </c>
      <c r="AO22" s="86">
        <v>0</v>
      </c>
      <c r="AP22" s="86">
        <v>0</v>
      </c>
      <c r="AQ22" s="86">
        <v>0</v>
      </c>
      <c r="AR22" s="86">
        <v>0</v>
      </c>
      <c r="AS22" s="86">
        <v>0</v>
      </c>
      <c r="AT22" s="86">
        <v>0</v>
      </c>
      <c r="AU22" s="86">
        <v>0</v>
      </c>
      <c r="AV22" s="86">
        <v>0</v>
      </c>
      <c r="AW22" s="86">
        <v>0</v>
      </c>
      <c r="AX22" s="86">
        <v>0</v>
      </c>
      <c r="AY22" s="86">
        <v>0</v>
      </c>
      <c r="AZ22" s="86">
        <v>0</v>
      </c>
      <c r="BA22" s="86">
        <v>0</v>
      </c>
      <c r="BB22" s="86">
        <v>0</v>
      </c>
      <c r="BC22" s="86">
        <v>0</v>
      </c>
      <c r="BD22" s="86">
        <v>0</v>
      </c>
      <c r="BE22" s="86">
        <v>0</v>
      </c>
      <c r="BF22" s="86">
        <v>0</v>
      </c>
      <c r="BG22" s="86">
        <v>0</v>
      </c>
      <c r="BH22" s="86">
        <v>0</v>
      </c>
      <c r="BI22" s="86">
        <v>0</v>
      </c>
      <c r="BJ22" s="86">
        <v>0</v>
      </c>
      <c r="BK22" s="86">
        <v>0</v>
      </c>
      <c r="BL22" s="86">
        <v>0</v>
      </c>
      <c r="BM22" s="86">
        <v>0</v>
      </c>
      <c r="BN22" s="86">
        <v>0</v>
      </c>
      <c r="BO22" s="86">
        <v>0</v>
      </c>
      <c r="BP22" s="86">
        <v>0</v>
      </c>
      <c r="BQ22" s="86">
        <v>0</v>
      </c>
      <c r="BR22" s="86">
        <v>0</v>
      </c>
      <c r="BS22" s="86">
        <v>0</v>
      </c>
      <c r="BT22" s="86">
        <v>0</v>
      </c>
      <c r="BU22" s="86">
        <v>0</v>
      </c>
      <c r="BV22" s="86">
        <v>0</v>
      </c>
      <c r="BW22" s="86">
        <v>0</v>
      </c>
      <c r="BX22" s="86">
        <v>0</v>
      </c>
      <c r="BY22" s="86">
        <v>0</v>
      </c>
      <c r="BZ22" s="86">
        <v>0</v>
      </c>
      <c r="CA22" s="86">
        <v>0</v>
      </c>
      <c r="CB22" s="86">
        <v>0</v>
      </c>
      <c r="CC22" s="86">
        <v>0</v>
      </c>
      <c r="CD22" s="86">
        <v>0</v>
      </c>
      <c r="CE22" s="86">
        <v>0</v>
      </c>
      <c r="CF22" s="86">
        <v>0</v>
      </c>
      <c r="CG22" s="86">
        <v>0</v>
      </c>
      <c r="CH22" s="86">
        <v>0</v>
      </c>
      <c r="CI22" s="86">
        <v>0</v>
      </c>
      <c r="CJ22" s="86">
        <v>0</v>
      </c>
      <c r="CK22" s="86">
        <v>0</v>
      </c>
      <c r="CL22" s="86">
        <v>0</v>
      </c>
      <c r="CM22" s="86">
        <v>0</v>
      </c>
      <c r="CN22" s="86">
        <v>0</v>
      </c>
      <c r="CO22" s="86">
        <v>0</v>
      </c>
      <c r="CP22" s="86">
        <v>0</v>
      </c>
      <c r="CQ22" s="86">
        <v>0</v>
      </c>
      <c r="CR22" s="86">
        <v>0</v>
      </c>
      <c r="CS22" s="86">
        <v>0</v>
      </c>
      <c r="CT22" s="86">
        <v>0</v>
      </c>
      <c r="CU22" s="86">
        <v>0</v>
      </c>
      <c r="CV22" s="86">
        <v>0</v>
      </c>
      <c r="CW22" s="86">
        <v>0</v>
      </c>
      <c r="CX22" s="86">
        <v>0</v>
      </c>
      <c r="CY22" s="86">
        <v>0</v>
      </c>
      <c r="CZ22" s="86">
        <v>0</v>
      </c>
      <c r="DA22" s="86">
        <v>0</v>
      </c>
      <c r="DB22" s="86">
        <v>0</v>
      </c>
      <c r="DC22" s="86">
        <v>0</v>
      </c>
      <c r="DD22" s="86">
        <v>0</v>
      </c>
      <c r="DE22" s="86">
        <v>0.5</v>
      </c>
      <c r="DF22" s="86">
        <v>4</v>
      </c>
      <c r="DG22" s="86">
        <v>1.5</v>
      </c>
      <c r="DH22" s="86">
        <v>1.5</v>
      </c>
      <c r="DI22" s="86">
        <v>7.5</v>
      </c>
      <c r="DJ22" s="86">
        <v>2</v>
      </c>
      <c r="DK22" s="86">
        <v>2</v>
      </c>
      <c r="DL22" s="86">
        <v>1</v>
      </c>
      <c r="DM22" s="86">
        <v>1</v>
      </c>
      <c r="DN22" s="86">
        <v>1</v>
      </c>
      <c r="DO22" s="86">
        <v>1</v>
      </c>
      <c r="DP22" s="86">
        <v>1</v>
      </c>
      <c r="DQ22" s="86">
        <v>9</v>
      </c>
      <c r="DR22" s="86">
        <v>220</v>
      </c>
      <c r="DS22" s="87">
        <v>260.15000000000003</v>
      </c>
    </row>
    <row r="23" spans="1:123">
      <c r="A23" s="74"/>
      <c r="B23" s="83" t="s">
        <v>323</v>
      </c>
      <c r="D23" s="82">
        <f>COUNTIF(D3:D22, "&lt;0")/COUNTA(A3:A22)</f>
        <v>0.9</v>
      </c>
    </row>
    <row r="24" spans="1:123">
      <c r="A24" s="74"/>
    </row>
    <row r="25" spans="1:123">
      <c r="A25" s="74"/>
      <c r="B25" s="109"/>
      <c r="C25" s="109"/>
      <c r="D25" s="109"/>
    </row>
    <row r="26" spans="1:123">
      <c r="A26" s="74"/>
    </row>
    <row r="27" spans="1:123">
      <c r="A27" s="74"/>
    </row>
  </sheetData>
  <mergeCells count="3">
    <mergeCell ref="A1:D1"/>
    <mergeCell ref="F2:DS2"/>
    <mergeCell ref="B25:D25"/>
  </mergeCells>
  <phoneticPr fontId="25" type="noConversion"/>
  <conditionalFormatting sqref="A3:A22">
    <cfRule type="expression" dxfId="96" priority="3">
      <formula>B3+C3&lt;0</formula>
    </cfRule>
  </conditionalFormatting>
  <conditionalFormatting sqref="B3:B22">
    <cfRule type="expression" dxfId="95" priority="2">
      <formula>B3+C3&lt;0</formula>
    </cfRule>
  </conditionalFormatting>
  <conditionalFormatting sqref="D3:D22">
    <cfRule type="expression" dxfId="94" priority="1">
      <formula>B3+C3&lt;0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27326E"/>
    <outlinePr summaryBelow="0" summaryRight="0"/>
  </sheetPr>
  <dimension ref="A1:F1000"/>
  <sheetViews>
    <sheetView workbookViewId="0">
      <pane ySplit="1" topLeftCell="A2" activePane="bottomLeft" state="frozen"/>
      <selection pane="bottomLeft" activeCell="C33" sqref="C33"/>
    </sheetView>
  </sheetViews>
  <sheetFormatPr defaultColWidth="12.5703125" defaultRowHeight="15" customHeight="1"/>
  <cols>
    <col min="1" max="1" width="12.5703125" customWidth="1"/>
    <col min="2" max="2" width="16.140625" customWidth="1"/>
    <col min="3" max="6" width="12.5703125" customWidth="1"/>
  </cols>
  <sheetData>
    <row r="1" spans="1:6" ht="15.75" customHeight="1">
      <c r="A1" s="1" t="s">
        <v>0</v>
      </c>
      <c r="B1" s="1" t="s">
        <v>1</v>
      </c>
    </row>
    <row r="2" spans="1:6" ht="15.75" customHeight="1">
      <c r="A2" s="2" t="s">
        <v>2</v>
      </c>
      <c r="B2" s="3">
        <v>266</v>
      </c>
    </row>
    <row r="3" spans="1:6" ht="15.75" customHeight="1">
      <c r="A3" s="2" t="s">
        <v>3</v>
      </c>
      <c r="B3" s="3">
        <v>256</v>
      </c>
    </row>
    <row r="4" spans="1:6" ht="15.75" customHeight="1">
      <c r="A4" s="2" t="s">
        <v>4</v>
      </c>
      <c r="B4" s="3">
        <v>256</v>
      </c>
    </row>
    <row r="5" spans="1:6" ht="15.75" customHeight="1">
      <c r="A5" s="2" t="s">
        <v>5</v>
      </c>
      <c r="B5" s="3">
        <v>254</v>
      </c>
    </row>
    <row r="6" spans="1:6" ht="15.75" customHeight="1">
      <c r="A6" s="2" t="s">
        <v>6</v>
      </c>
      <c r="B6" s="3">
        <v>256</v>
      </c>
    </row>
    <row r="7" spans="1:6" ht="15.75" customHeight="1">
      <c r="A7" s="2" t="s">
        <v>7</v>
      </c>
      <c r="B7" s="3">
        <v>256</v>
      </c>
    </row>
    <row r="8" spans="1:6" ht="15.75" customHeight="1">
      <c r="A8" s="2" t="s">
        <v>8</v>
      </c>
      <c r="B8" s="3">
        <v>254</v>
      </c>
    </row>
    <row r="9" spans="1:6" ht="15.75" customHeight="1">
      <c r="A9" s="2" t="s">
        <v>9</v>
      </c>
      <c r="B9" s="3">
        <v>232</v>
      </c>
    </row>
    <row r="10" spans="1:6" ht="15.75" customHeight="1">
      <c r="A10" s="2" t="s">
        <v>10</v>
      </c>
      <c r="B10" s="3">
        <v>300</v>
      </c>
    </row>
    <row r="11" spans="1:6" ht="15.75" customHeight="1">
      <c r="A11" s="2" t="s">
        <v>11</v>
      </c>
      <c r="B11" s="3">
        <v>256</v>
      </c>
    </row>
    <row r="12" spans="1:6" ht="15.75" customHeight="1">
      <c r="A12" s="2" t="s">
        <v>12</v>
      </c>
      <c r="B12" s="3">
        <v>279</v>
      </c>
    </row>
    <row r="13" spans="1:6" ht="15.75" customHeight="1">
      <c r="A13" s="2" t="s">
        <v>13</v>
      </c>
      <c r="B13" s="3">
        <v>256</v>
      </c>
      <c r="F13" s="4"/>
    </row>
    <row r="14" spans="1:6" ht="15.75" customHeight="1">
      <c r="A14" s="2" t="s">
        <v>14</v>
      </c>
      <c r="B14" s="3">
        <v>254</v>
      </c>
    </row>
    <row r="15" spans="1:6" ht="15.75" customHeight="1">
      <c r="A15" s="2" t="s">
        <v>15</v>
      </c>
      <c r="B15" s="3">
        <v>240</v>
      </c>
    </row>
    <row r="16" spans="1:6" ht="15.75" customHeight="1">
      <c r="A16" s="2" t="s">
        <v>16</v>
      </c>
      <c r="B16" s="3">
        <v>240</v>
      </c>
    </row>
    <row r="17" spans="1:2" ht="15.75" customHeight="1">
      <c r="A17" s="2" t="s">
        <v>17</v>
      </c>
      <c r="B17" s="3">
        <v>256</v>
      </c>
    </row>
    <row r="18" spans="1:2" ht="15.75" customHeight="1">
      <c r="A18" s="2" t="s">
        <v>18</v>
      </c>
      <c r="B18" s="3">
        <v>266</v>
      </c>
    </row>
    <row r="19" spans="1:2" ht="15.75" customHeight="1">
      <c r="A19" s="2" t="s">
        <v>19</v>
      </c>
      <c r="B19" s="3">
        <v>256</v>
      </c>
    </row>
    <row r="20" spans="1:2" ht="15.75" customHeight="1">
      <c r="A20" s="2" t="s">
        <v>20</v>
      </c>
      <c r="B20" s="3">
        <v>266</v>
      </c>
    </row>
    <row r="21" spans="1:2" ht="15.75" customHeight="1">
      <c r="A21" s="2" t="s">
        <v>21</v>
      </c>
      <c r="B21" s="3">
        <v>266</v>
      </c>
    </row>
    <row r="22" spans="1:2" ht="15.75" customHeight="1">
      <c r="A22" s="2" t="s">
        <v>22</v>
      </c>
      <c r="B22" s="3">
        <v>240</v>
      </c>
    </row>
    <row r="23" spans="1:2" ht="15.75" customHeight="1">
      <c r="A23" s="2" t="s">
        <v>23</v>
      </c>
      <c r="B23" s="3">
        <v>208</v>
      </c>
    </row>
    <row r="24" spans="1:2" ht="15.75" customHeight="1">
      <c r="A24" s="2" t="s">
        <v>24</v>
      </c>
      <c r="B24" s="3">
        <v>256</v>
      </c>
    </row>
    <row r="25" spans="1:2" ht="15.75" customHeight="1">
      <c r="A25" s="2" t="s">
        <v>25</v>
      </c>
      <c r="B25" s="3">
        <v>240</v>
      </c>
    </row>
    <row r="26" spans="1:2" ht="15.75" customHeight="1">
      <c r="A26" s="2" t="s">
        <v>26</v>
      </c>
      <c r="B26" s="3">
        <v>251</v>
      </c>
    </row>
    <row r="27" spans="1:2" ht="15.75" customHeight="1">
      <c r="A27" s="2" t="s">
        <v>27</v>
      </c>
      <c r="B27" s="3">
        <v>240</v>
      </c>
    </row>
    <row r="28" spans="1:2" ht="15.75" customHeight="1">
      <c r="A28" s="2" t="s">
        <v>28</v>
      </c>
      <c r="B28" s="3">
        <v>178</v>
      </c>
    </row>
    <row r="29" spans="1:2" ht="15.75" customHeight="1">
      <c r="A29" s="2" t="s">
        <v>29</v>
      </c>
      <c r="B29" s="3">
        <v>300</v>
      </c>
    </row>
    <row r="30" spans="1:2" ht="15.75" customHeight="1">
      <c r="A30" s="2" t="s">
        <v>30</v>
      </c>
      <c r="B30" s="3">
        <v>263</v>
      </c>
    </row>
    <row r="31" spans="1:2" ht="15.75" customHeight="1">
      <c r="A31" s="2" t="s">
        <v>31</v>
      </c>
      <c r="B31" s="3">
        <v>180</v>
      </c>
    </row>
    <row r="32" spans="1:2" ht="15.75" customHeight="1">
      <c r="A32" s="2" t="s">
        <v>31</v>
      </c>
      <c r="B32" s="3">
        <v>266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A1:B32" xr:uid="{00000000-0009-0000-0000-000001000000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27326E"/>
    <outlinePr summaryBelow="0" summaryRight="0"/>
  </sheetPr>
  <dimension ref="A1:W1000"/>
  <sheetViews>
    <sheetView workbookViewId="0">
      <pane xSplit="1" ySplit="1" topLeftCell="B36" activePane="bottomRight" state="frozen"/>
      <selection pane="topRight" activeCell="B1" sqref="B1"/>
      <selection pane="bottomLeft" activeCell="A2" sqref="A2"/>
      <selection pane="bottomRight" activeCell="A42" sqref="A42:XFD42"/>
    </sheetView>
  </sheetViews>
  <sheetFormatPr defaultColWidth="12.5703125" defaultRowHeight="15" customHeight="1"/>
  <cols>
    <col min="1" max="1" width="35.42578125" customWidth="1"/>
    <col min="2" max="7" width="11.42578125" customWidth="1"/>
    <col min="8" max="8" width="13.5703125" customWidth="1"/>
    <col min="9" max="9" width="11.42578125" customWidth="1"/>
    <col min="10" max="10" width="13.85546875" customWidth="1"/>
    <col min="11" max="21" width="11.42578125" customWidth="1"/>
    <col min="22" max="22" width="13" customWidth="1"/>
  </cols>
  <sheetData>
    <row r="1" spans="1:23" ht="38.25">
      <c r="A1" s="5" t="s">
        <v>32</v>
      </c>
      <c r="B1" s="6" t="s">
        <v>33</v>
      </c>
      <c r="C1" s="6" t="s">
        <v>34</v>
      </c>
      <c r="D1" s="6" t="s">
        <v>35</v>
      </c>
      <c r="E1" s="6" t="s">
        <v>36</v>
      </c>
      <c r="F1" s="6" t="s">
        <v>37</v>
      </c>
      <c r="G1" s="6" t="s">
        <v>38</v>
      </c>
      <c r="H1" s="6" t="s">
        <v>39</v>
      </c>
      <c r="I1" s="6" t="s">
        <v>40</v>
      </c>
      <c r="J1" s="6" t="s">
        <v>41</v>
      </c>
      <c r="K1" s="6" t="s">
        <v>42</v>
      </c>
      <c r="L1" s="6" t="s">
        <v>43</v>
      </c>
      <c r="M1" s="6" t="s">
        <v>44</v>
      </c>
      <c r="N1" s="6" t="s">
        <v>45</v>
      </c>
      <c r="O1" s="6" t="s">
        <v>46</v>
      </c>
      <c r="P1" s="6" t="s">
        <v>47</v>
      </c>
      <c r="Q1" s="6" t="s">
        <v>48</v>
      </c>
      <c r="R1" s="6" t="s">
        <v>49</v>
      </c>
      <c r="S1" s="6" t="s">
        <v>50</v>
      </c>
      <c r="T1" s="6" t="s">
        <v>51</v>
      </c>
      <c r="U1" s="6" t="s">
        <v>52</v>
      </c>
      <c r="V1" s="6" t="s">
        <v>53</v>
      </c>
    </row>
    <row r="2" spans="1:23" ht="15.75" customHeight="1">
      <c r="A2" s="7" t="s">
        <v>54</v>
      </c>
      <c r="B2" s="7">
        <v>0.9</v>
      </c>
      <c r="C2" s="7">
        <v>0.9</v>
      </c>
      <c r="D2" s="7">
        <v>1.43</v>
      </c>
      <c r="E2" s="7">
        <v>0.9</v>
      </c>
      <c r="F2" s="7">
        <v>1.97</v>
      </c>
      <c r="G2" s="7">
        <v>1.97</v>
      </c>
      <c r="H2" s="7">
        <v>1.97</v>
      </c>
      <c r="I2" s="7">
        <v>1.97</v>
      </c>
      <c r="J2" s="7">
        <v>3</v>
      </c>
      <c r="K2" s="7">
        <v>3</v>
      </c>
      <c r="L2" s="7">
        <v>3</v>
      </c>
      <c r="M2" s="7">
        <v>3</v>
      </c>
      <c r="N2" s="7">
        <v>3</v>
      </c>
      <c r="O2" s="8">
        <v>0</v>
      </c>
      <c r="P2" s="8">
        <v>0</v>
      </c>
      <c r="Q2" s="8">
        <v>0</v>
      </c>
      <c r="R2" s="8">
        <v>0</v>
      </c>
      <c r="S2" s="8">
        <v>3</v>
      </c>
      <c r="T2" s="7">
        <v>0.9</v>
      </c>
      <c r="U2" s="7">
        <v>0.9</v>
      </c>
      <c r="V2" s="7">
        <v>0.9</v>
      </c>
      <c r="W2" s="20"/>
    </row>
    <row r="3" spans="1:23" ht="15.75" customHeight="1">
      <c r="A3" s="7" t="s">
        <v>55</v>
      </c>
      <c r="B3" s="7">
        <v>1.4</v>
      </c>
      <c r="C3" s="7">
        <v>1.4</v>
      </c>
      <c r="D3" s="7">
        <v>2.8</v>
      </c>
      <c r="E3" s="7">
        <v>1.4</v>
      </c>
      <c r="F3" s="7">
        <v>3.3</v>
      </c>
      <c r="G3" s="7">
        <v>3.3</v>
      </c>
      <c r="H3" s="7">
        <v>3.3</v>
      </c>
      <c r="I3" s="7">
        <v>3.3</v>
      </c>
      <c r="J3" s="7">
        <v>8.9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8">
        <v>8.9</v>
      </c>
      <c r="Q3" s="7">
        <v>0</v>
      </c>
      <c r="R3" s="8">
        <v>8.9</v>
      </c>
      <c r="S3" s="7">
        <v>0</v>
      </c>
      <c r="T3" s="7">
        <v>1.4</v>
      </c>
      <c r="U3" s="7">
        <v>1.4</v>
      </c>
      <c r="V3" s="7">
        <v>1.4</v>
      </c>
    </row>
    <row r="4" spans="1:23" ht="15.75" customHeight="1">
      <c r="A4" s="7" t="s">
        <v>56</v>
      </c>
      <c r="B4" s="7">
        <v>1.4</v>
      </c>
      <c r="C4" s="7">
        <v>1.4</v>
      </c>
      <c r="D4" s="7">
        <v>2.8</v>
      </c>
      <c r="E4" s="7">
        <v>1.4</v>
      </c>
      <c r="F4" s="7">
        <v>3.3</v>
      </c>
      <c r="G4" s="7">
        <v>3.3</v>
      </c>
      <c r="H4" s="7">
        <v>3.3</v>
      </c>
      <c r="I4" s="7">
        <v>3.3</v>
      </c>
      <c r="J4" s="7">
        <v>8.9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8">
        <v>8.9</v>
      </c>
      <c r="Q4" s="7">
        <v>0</v>
      </c>
      <c r="R4" s="8">
        <v>8.9</v>
      </c>
      <c r="S4" s="7">
        <v>0</v>
      </c>
      <c r="T4" s="7">
        <v>1.4</v>
      </c>
      <c r="U4" s="7">
        <v>1.4</v>
      </c>
      <c r="V4" s="7">
        <v>1.4</v>
      </c>
    </row>
    <row r="5" spans="1:23" ht="15.75" customHeight="1">
      <c r="A5" s="7" t="s">
        <v>57</v>
      </c>
      <c r="B5" s="7">
        <v>1.4</v>
      </c>
      <c r="C5" s="7">
        <v>1.4</v>
      </c>
      <c r="D5" s="7">
        <v>2.8</v>
      </c>
      <c r="E5" s="7">
        <v>1.4</v>
      </c>
      <c r="F5" s="7">
        <v>3.3</v>
      </c>
      <c r="G5" s="7">
        <v>3.3</v>
      </c>
      <c r="H5" s="7">
        <v>3.3</v>
      </c>
      <c r="I5" s="7">
        <v>3.3</v>
      </c>
      <c r="J5" s="7">
        <v>8.9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8">
        <v>8.9</v>
      </c>
      <c r="Q5" s="7">
        <v>0</v>
      </c>
      <c r="R5" s="8">
        <v>8.9</v>
      </c>
      <c r="S5" s="7">
        <v>0</v>
      </c>
      <c r="T5" s="7">
        <v>1.4</v>
      </c>
      <c r="U5" s="7">
        <v>1.4</v>
      </c>
      <c r="V5" s="7">
        <v>1.4</v>
      </c>
    </row>
    <row r="6" spans="1:23" ht="15.75" customHeight="1">
      <c r="A6" s="7" t="s">
        <v>58</v>
      </c>
      <c r="B6" s="7">
        <v>2.2999999999999998</v>
      </c>
      <c r="C6" s="7">
        <v>2.23</v>
      </c>
      <c r="D6" s="7">
        <v>5.3</v>
      </c>
      <c r="E6" s="7">
        <v>1.84</v>
      </c>
      <c r="F6" s="7">
        <v>4.8600000000000003</v>
      </c>
      <c r="G6" s="7">
        <v>8.75</v>
      </c>
      <c r="H6" s="7">
        <v>8.75</v>
      </c>
      <c r="I6" s="7">
        <v>8.75</v>
      </c>
      <c r="J6" s="7">
        <v>8.75</v>
      </c>
      <c r="K6" s="7">
        <v>6.58</v>
      </c>
      <c r="L6" s="7">
        <v>6.58</v>
      </c>
      <c r="M6" s="7">
        <v>6.58</v>
      </c>
      <c r="N6" s="7">
        <v>6.58</v>
      </c>
      <c r="O6" s="8">
        <v>6.2</v>
      </c>
      <c r="P6" s="8">
        <v>18.47</v>
      </c>
      <c r="Q6" s="8">
        <v>18.47</v>
      </c>
      <c r="R6" s="8">
        <v>18.47</v>
      </c>
      <c r="S6" s="8">
        <v>6.58</v>
      </c>
      <c r="T6" s="7"/>
      <c r="U6" s="7"/>
      <c r="V6" s="7"/>
    </row>
    <row r="7" spans="1:23" ht="15.75" customHeight="1">
      <c r="A7" s="7" t="s">
        <v>59</v>
      </c>
      <c r="B7" s="7">
        <v>1.4</v>
      </c>
      <c r="C7" s="7">
        <v>1.4</v>
      </c>
      <c r="D7" s="7">
        <v>2.8</v>
      </c>
      <c r="E7" s="7">
        <v>1.4</v>
      </c>
      <c r="F7" s="7">
        <v>3.3</v>
      </c>
      <c r="G7" s="7">
        <v>3.3</v>
      </c>
      <c r="H7" s="7">
        <v>3.3</v>
      </c>
      <c r="I7" s="7">
        <v>3.3</v>
      </c>
      <c r="J7" s="7">
        <v>8.9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8">
        <v>8.9</v>
      </c>
      <c r="Q7" s="7">
        <v>0</v>
      </c>
      <c r="R7" s="8">
        <v>8.9</v>
      </c>
      <c r="S7" s="7">
        <v>0</v>
      </c>
      <c r="T7" s="7">
        <v>1.4</v>
      </c>
      <c r="U7" s="7">
        <v>1.4</v>
      </c>
      <c r="V7" s="7">
        <v>1.4</v>
      </c>
    </row>
    <row r="8" spans="1:23" ht="15.75" customHeight="1">
      <c r="A8" s="7" t="s">
        <v>60</v>
      </c>
      <c r="B8" s="7">
        <v>0.9</v>
      </c>
      <c r="C8" s="7">
        <v>0.9</v>
      </c>
      <c r="D8" s="7">
        <v>1.43</v>
      </c>
      <c r="E8" s="7">
        <v>0.9</v>
      </c>
      <c r="F8" s="7">
        <v>1.97</v>
      </c>
      <c r="G8" s="7">
        <v>1.97</v>
      </c>
      <c r="H8" s="7">
        <v>1.97</v>
      </c>
      <c r="I8" s="7">
        <v>1.97</v>
      </c>
      <c r="J8" s="7">
        <v>3</v>
      </c>
      <c r="K8" s="7">
        <v>3</v>
      </c>
      <c r="L8" s="7">
        <v>3</v>
      </c>
      <c r="M8" s="7">
        <v>3</v>
      </c>
      <c r="N8" s="7">
        <v>3</v>
      </c>
      <c r="O8" s="8">
        <v>0</v>
      </c>
      <c r="P8" s="8">
        <v>0</v>
      </c>
      <c r="Q8" s="8">
        <v>0</v>
      </c>
      <c r="R8" s="8">
        <v>0</v>
      </c>
      <c r="S8" s="8">
        <v>3</v>
      </c>
      <c r="T8" s="7">
        <v>0.9</v>
      </c>
      <c r="U8" s="7">
        <v>0.9</v>
      </c>
      <c r="V8" s="7">
        <v>0.9</v>
      </c>
    </row>
    <row r="9" spans="1:23" ht="15.75" customHeight="1">
      <c r="A9" s="7" t="s">
        <v>61</v>
      </c>
      <c r="B9" s="7">
        <v>1.4</v>
      </c>
      <c r="C9" s="7">
        <v>1.4</v>
      </c>
      <c r="D9" s="7">
        <v>2.8</v>
      </c>
      <c r="E9" s="7">
        <v>1.4</v>
      </c>
      <c r="F9" s="7">
        <v>3.3</v>
      </c>
      <c r="G9" s="7">
        <v>3.3</v>
      </c>
      <c r="H9" s="7">
        <v>3.3</v>
      </c>
      <c r="I9" s="7">
        <v>3.3</v>
      </c>
      <c r="J9" s="7">
        <v>8.9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8">
        <v>8.9</v>
      </c>
      <c r="Q9" s="7">
        <v>0</v>
      </c>
      <c r="R9" s="8">
        <v>8.9</v>
      </c>
      <c r="S9" s="7">
        <v>0</v>
      </c>
      <c r="T9" s="7">
        <v>1.4</v>
      </c>
      <c r="U9" s="7">
        <v>1.4</v>
      </c>
      <c r="V9" s="7">
        <v>1.4</v>
      </c>
    </row>
    <row r="10" spans="1:23" ht="15.75" customHeight="1">
      <c r="A10" s="7" t="s">
        <v>62</v>
      </c>
      <c r="B10" s="7">
        <v>2.48</v>
      </c>
      <c r="C10" s="7">
        <v>4.03</v>
      </c>
      <c r="D10" s="7">
        <v>6.51</v>
      </c>
      <c r="E10" s="7">
        <v>3.1</v>
      </c>
      <c r="F10" s="7">
        <v>9.3000000000000007</v>
      </c>
      <c r="G10" s="7">
        <v>10.85</v>
      </c>
      <c r="H10" s="7">
        <v>13.95</v>
      </c>
      <c r="I10" s="7">
        <v>15.5</v>
      </c>
      <c r="J10" s="7">
        <v>17.05</v>
      </c>
      <c r="K10" s="7">
        <v>31</v>
      </c>
      <c r="L10" s="8">
        <v>40.299999999999997</v>
      </c>
      <c r="M10" s="7">
        <v>48.05</v>
      </c>
      <c r="N10" s="8">
        <v>49.6</v>
      </c>
      <c r="O10" s="8">
        <v>16.43</v>
      </c>
      <c r="P10" s="8">
        <v>24.18</v>
      </c>
      <c r="Q10" s="8">
        <v>24.18</v>
      </c>
      <c r="R10" s="8">
        <v>27.9</v>
      </c>
      <c r="S10" s="8" t="s">
        <v>63</v>
      </c>
      <c r="T10" s="7"/>
      <c r="U10" s="7"/>
      <c r="V10" s="7"/>
    </row>
    <row r="11" spans="1:23" ht="15.75" customHeight="1">
      <c r="A11" s="2" t="s">
        <v>64</v>
      </c>
      <c r="B11" s="7">
        <v>2.85</v>
      </c>
      <c r="C11" s="7">
        <v>3.15</v>
      </c>
      <c r="D11" s="7">
        <v>4</v>
      </c>
      <c r="E11" s="7">
        <v>2.6500000000000004</v>
      </c>
      <c r="F11" s="7">
        <v>4.25</v>
      </c>
      <c r="G11" s="7">
        <v>5</v>
      </c>
      <c r="H11" s="7">
        <v>6</v>
      </c>
      <c r="I11" s="7">
        <v>6</v>
      </c>
      <c r="J11" s="7">
        <v>17</v>
      </c>
      <c r="K11" s="7">
        <v>18.5</v>
      </c>
      <c r="L11" s="8">
        <v>24</v>
      </c>
      <c r="M11" s="7">
        <v>24</v>
      </c>
      <c r="N11" s="8">
        <v>24</v>
      </c>
      <c r="O11" s="8">
        <v>17</v>
      </c>
      <c r="P11" s="8">
        <v>17</v>
      </c>
      <c r="Q11" s="8">
        <v>17</v>
      </c>
      <c r="R11" s="8">
        <v>17</v>
      </c>
      <c r="S11" s="8" t="s">
        <v>63</v>
      </c>
      <c r="T11" s="7"/>
      <c r="U11" s="7"/>
      <c r="V11" s="7"/>
    </row>
    <row r="12" spans="1:23" ht="15.75" customHeight="1">
      <c r="A12" s="2" t="s">
        <v>65</v>
      </c>
      <c r="B12" s="7">
        <v>2.5666666666666669</v>
      </c>
      <c r="C12" s="7">
        <v>3.5</v>
      </c>
      <c r="D12" s="7">
        <v>5.0666666666666664</v>
      </c>
      <c r="E12" s="7">
        <v>2.8333333333333335</v>
      </c>
      <c r="F12" s="7">
        <v>6.666666666666667</v>
      </c>
      <c r="G12" s="7">
        <v>7.6000000000000005</v>
      </c>
      <c r="H12" s="7">
        <v>9.2666666666666675</v>
      </c>
      <c r="I12" s="7">
        <v>10.1</v>
      </c>
      <c r="J12" s="7">
        <v>16.5</v>
      </c>
      <c r="K12" s="7">
        <v>35</v>
      </c>
      <c r="L12" s="8">
        <v>40</v>
      </c>
      <c r="M12" s="7">
        <v>44.166666666666664</v>
      </c>
      <c r="N12" s="8">
        <v>45</v>
      </c>
      <c r="O12" s="8">
        <v>15.833333333333334</v>
      </c>
      <c r="P12" s="8">
        <v>20</v>
      </c>
      <c r="Q12" s="8">
        <v>20</v>
      </c>
      <c r="R12" s="8">
        <v>22</v>
      </c>
      <c r="S12" s="8" t="s">
        <v>63</v>
      </c>
      <c r="T12" s="7"/>
      <c r="U12" s="7"/>
      <c r="V12" s="7"/>
    </row>
    <row r="13" spans="1:23" ht="15.75" customHeight="1">
      <c r="A13" s="2" t="s">
        <v>66</v>
      </c>
      <c r="B13" s="7">
        <v>4.58</v>
      </c>
      <c r="C13" s="7">
        <v>4.4700000000000006</v>
      </c>
      <c r="D13" s="7">
        <v>5.5600000000000005</v>
      </c>
      <c r="E13" s="7">
        <v>4.2</v>
      </c>
      <c r="F13" s="7">
        <v>5.32</v>
      </c>
      <c r="G13" s="7">
        <v>5.5600000000000005</v>
      </c>
      <c r="H13" s="7">
        <v>5.5600000000000005</v>
      </c>
      <c r="I13" s="7">
        <v>5.5600000000000005</v>
      </c>
      <c r="J13" s="7">
        <v>28</v>
      </c>
      <c r="K13" s="7">
        <v>42.1</v>
      </c>
      <c r="L13" s="8">
        <v>45.4</v>
      </c>
      <c r="M13" s="7">
        <v>46.8</v>
      </c>
      <c r="N13" s="8">
        <v>46.8</v>
      </c>
      <c r="O13" s="8">
        <v>13.375</v>
      </c>
      <c r="P13" s="8">
        <v>13.375</v>
      </c>
      <c r="Q13" s="8">
        <v>13.375</v>
      </c>
      <c r="R13" s="8">
        <v>13.375</v>
      </c>
      <c r="S13" s="8" t="s">
        <v>63</v>
      </c>
      <c r="T13" s="7"/>
      <c r="U13" s="7"/>
      <c r="V13" s="7"/>
    </row>
    <row r="14" spans="1:23" ht="15.75" customHeight="1">
      <c r="A14" s="2" t="s">
        <v>67</v>
      </c>
      <c r="B14" s="7">
        <v>2.1</v>
      </c>
      <c r="C14" s="7">
        <v>2.25</v>
      </c>
      <c r="D14" s="7">
        <v>3.6</v>
      </c>
      <c r="E14" s="7">
        <v>2</v>
      </c>
      <c r="F14" s="7">
        <v>3.75</v>
      </c>
      <c r="G14" s="7">
        <v>4.9000000000000004</v>
      </c>
      <c r="H14" s="7">
        <v>4.9000000000000004</v>
      </c>
      <c r="I14" s="7">
        <v>4.9000000000000004</v>
      </c>
      <c r="J14" s="7">
        <v>8.5</v>
      </c>
      <c r="K14" s="7">
        <v>25</v>
      </c>
      <c r="L14" s="8">
        <v>27.5</v>
      </c>
      <c r="M14" s="7">
        <v>30</v>
      </c>
      <c r="N14" s="8">
        <v>30</v>
      </c>
      <c r="O14" s="8">
        <v>12.5</v>
      </c>
      <c r="P14" s="8">
        <v>15</v>
      </c>
      <c r="Q14" s="8">
        <v>15</v>
      </c>
      <c r="R14" s="8">
        <v>15</v>
      </c>
      <c r="S14" s="8" t="s">
        <v>63</v>
      </c>
      <c r="T14" s="7"/>
      <c r="U14" s="7"/>
      <c r="V14" s="7"/>
    </row>
    <row r="15" spans="1:23" ht="15.75" customHeight="1">
      <c r="A15" s="2" t="s">
        <v>68</v>
      </c>
      <c r="B15" s="7">
        <v>2.44</v>
      </c>
      <c r="C15" s="7">
        <v>3.68</v>
      </c>
      <c r="D15" s="7">
        <v>6.1</v>
      </c>
      <c r="E15" s="7">
        <v>2.9</v>
      </c>
      <c r="F15" s="7">
        <v>4.59</v>
      </c>
      <c r="G15" s="7">
        <v>4.59</v>
      </c>
      <c r="H15" s="7">
        <v>4.59</v>
      </c>
      <c r="I15" s="7">
        <v>4.59</v>
      </c>
      <c r="J15" s="7">
        <v>35</v>
      </c>
      <c r="K15" s="7">
        <v>35</v>
      </c>
      <c r="L15" s="8">
        <v>40</v>
      </c>
      <c r="M15" s="7">
        <v>45</v>
      </c>
      <c r="N15" s="8">
        <v>52</v>
      </c>
      <c r="O15" s="8">
        <v>20</v>
      </c>
      <c r="P15" s="8">
        <v>30</v>
      </c>
      <c r="Q15" s="8">
        <v>40</v>
      </c>
      <c r="R15" s="8">
        <v>48</v>
      </c>
      <c r="S15" s="8" t="s">
        <v>63</v>
      </c>
      <c r="T15" s="7"/>
      <c r="U15" s="7"/>
      <c r="V15" s="7"/>
    </row>
    <row r="16" spans="1:23" ht="15.75" customHeight="1">
      <c r="A16" s="2" t="s">
        <v>69</v>
      </c>
      <c r="B16" s="7">
        <v>2.8</v>
      </c>
      <c r="C16" s="7">
        <v>2.8</v>
      </c>
      <c r="D16" s="7">
        <v>2.8</v>
      </c>
      <c r="E16" s="7">
        <v>2.8</v>
      </c>
      <c r="F16" s="7">
        <v>2.8</v>
      </c>
      <c r="G16" s="7">
        <v>2.8</v>
      </c>
      <c r="H16" s="7">
        <v>2.8</v>
      </c>
      <c r="I16" s="7">
        <v>2.8</v>
      </c>
      <c r="J16" s="7">
        <v>8</v>
      </c>
      <c r="K16" s="7">
        <v>25</v>
      </c>
      <c r="L16" s="8">
        <v>25</v>
      </c>
      <c r="M16" s="7">
        <v>25</v>
      </c>
      <c r="N16" s="8">
        <v>25</v>
      </c>
      <c r="O16" s="8">
        <v>8</v>
      </c>
      <c r="P16" s="8">
        <v>8</v>
      </c>
      <c r="Q16" s="8">
        <v>8</v>
      </c>
      <c r="R16" s="8">
        <v>8</v>
      </c>
      <c r="S16" s="8" t="s">
        <v>63</v>
      </c>
      <c r="T16" s="7"/>
      <c r="U16" s="7"/>
      <c r="V16" s="7"/>
    </row>
    <row r="17" spans="1:22" ht="15.75" customHeight="1">
      <c r="A17" s="2" t="s">
        <v>70</v>
      </c>
      <c r="B17" s="7">
        <v>2.8</v>
      </c>
      <c r="C17" s="7">
        <v>2.8</v>
      </c>
      <c r="D17" s="7">
        <v>2.8</v>
      </c>
      <c r="E17" s="7">
        <v>2.8</v>
      </c>
      <c r="F17" s="7">
        <v>2.8</v>
      </c>
      <c r="G17" s="7">
        <v>2.8</v>
      </c>
      <c r="H17" s="7">
        <v>2.8</v>
      </c>
      <c r="I17" s="7">
        <v>2.8</v>
      </c>
      <c r="J17" s="7">
        <v>8</v>
      </c>
      <c r="K17" s="7">
        <v>25</v>
      </c>
      <c r="L17" s="8">
        <v>25</v>
      </c>
      <c r="M17" s="7">
        <v>25</v>
      </c>
      <c r="N17" s="8">
        <v>25</v>
      </c>
      <c r="O17" s="8">
        <v>8</v>
      </c>
      <c r="P17" s="8">
        <v>8</v>
      </c>
      <c r="Q17" s="8">
        <v>8</v>
      </c>
      <c r="R17" s="8">
        <v>8</v>
      </c>
      <c r="S17" s="8" t="s">
        <v>63</v>
      </c>
      <c r="T17" s="7"/>
      <c r="U17" s="7"/>
      <c r="V17" s="7"/>
    </row>
    <row r="18" spans="1:22" ht="15.75" customHeight="1">
      <c r="A18" s="2" t="s">
        <v>71</v>
      </c>
      <c r="B18" s="7">
        <v>3.3319999999999999</v>
      </c>
      <c r="C18" s="7">
        <v>4.4770000000000003</v>
      </c>
      <c r="D18" s="7">
        <v>7.0589999999999993</v>
      </c>
      <c r="E18" s="7">
        <v>4.1400000000000006</v>
      </c>
      <c r="F18" s="7">
        <v>9.3699999999999992</v>
      </c>
      <c r="G18" s="7">
        <v>10.514999999999999</v>
      </c>
      <c r="H18" s="7">
        <v>12.805</v>
      </c>
      <c r="I18" s="7">
        <v>14.95</v>
      </c>
      <c r="J18" s="7">
        <v>20.094999999999999</v>
      </c>
      <c r="K18" s="7">
        <v>33.9</v>
      </c>
      <c r="L18" s="8">
        <v>40.769999999999996</v>
      </c>
      <c r="M18" s="7">
        <v>47.994999999999997</v>
      </c>
      <c r="N18" s="8">
        <v>51.64</v>
      </c>
      <c r="O18" s="8">
        <v>14.637</v>
      </c>
      <c r="P18" s="8">
        <v>21.361999999999998</v>
      </c>
      <c r="Q18" s="8">
        <v>21.361999999999998</v>
      </c>
      <c r="R18" s="8">
        <v>24.11</v>
      </c>
      <c r="S18" s="8" t="s">
        <v>63</v>
      </c>
      <c r="T18" s="7"/>
      <c r="U18" s="7"/>
      <c r="V18" s="7"/>
    </row>
    <row r="19" spans="1:22" ht="15.75" customHeight="1">
      <c r="A19" s="2" t="s">
        <v>72</v>
      </c>
      <c r="B19" s="7">
        <v>4.5250000000000004</v>
      </c>
      <c r="C19" s="7">
        <v>4.3875000000000002</v>
      </c>
      <c r="D19" s="7">
        <v>5.3250000000000002</v>
      </c>
      <c r="E19" s="7">
        <v>4.05</v>
      </c>
      <c r="F19" s="7">
        <v>5.0250000000000004</v>
      </c>
      <c r="G19" s="7">
        <v>5.3250000000000002</v>
      </c>
      <c r="H19" s="7">
        <v>5.3250000000000002</v>
      </c>
      <c r="I19" s="7">
        <v>5.3250000000000002</v>
      </c>
      <c r="J19" s="7">
        <v>28.75</v>
      </c>
      <c r="K19" s="7">
        <v>41.375</v>
      </c>
      <c r="L19" s="8">
        <v>45.5</v>
      </c>
      <c r="M19" s="7">
        <v>47.25</v>
      </c>
      <c r="N19" s="8">
        <v>47.25</v>
      </c>
      <c r="O19" s="8">
        <v>12.833333333333334</v>
      </c>
      <c r="P19" s="8">
        <v>12.833333333333334</v>
      </c>
      <c r="Q19" s="8">
        <v>12.833333333333334</v>
      </c>
      <c r="R19" s="8">
        <v>12.833333333333334</v>
      </c>
      <c r="S19" s="8" t="s">
        <v>63</v>
      </c>
      <c r="T19" s="7"/>
      <c r="U19" s="7"/>
      <c r="V19" s="7"/>
    </row>
    <row r="20" spans="1:22" ht="15.75" customHeight="1">
      <c r="A20" s="2" t="s">
        <v>73</v>
      </c>
      <c r="B20" s="7">
        <v>3.6999999999999997</v>
      </c>
      <c r="C20" s="7">
        <v>3.6999999999999997</v>
      </c>
      <c r="D20" s="7">
        <v>6.333333333333333</v>
      </c>
      <c r="E20" s="7">
        <v>3.8333333333333335</v>
      </c>
      <c r="F20" s="7">
        <v>7.5</v>
      </c>
      <c r="G20" s="7">
        <v>8.5</v>
      </c>
      <c r="H20" s="7">
        <v>10.166666666666666</v>
      </c>
      <c r="I20" s="7">
        <v>10.166666666666666</v>
      </c>
      <c r="J20" s="7">
        <v>26.666666666666668</v>
      </c>
      <c r="K20" s="7">
        <v>35</v>
      </c>
      <c r="L20" s="8">
        <v>40</v>
      </c>
      <c r="M20" s="7">
        <v>46.666666666666664</v>
      </c>
      <c r="N20" s="8">
        <v>50</v>
      </c>
      <c r="O20" s="8">
        <v>19</v>
      </c>
      <c r="P20" s="8">
        <v>20.833333333333332</v>
      </c>
      <c r="Q20" s="8">
        <v>24.333333333333332</v>
      </c>
      <c r="R20" s="8">
        <v>27.666666666666668</v>
      </c>
      <c r="S20" s="8" t="s">
        <v>63</v>
      </c>
      <c r="T20" s="7"/>
      <c r="U20" s="7"/>
      <c r="V20" s="7"/>
    </row>
    <row r="21" spans="1:22" ht="15.75" customHeight="1">
      <c r="A21" s="2" t="s">
        <v>74</v>
      </c>
      <c r="B21" s="7">
        <v>2.85</v>
      </c>
      <c r="C21" s="7">
        <v>3.63</v>
      </c>
      <c r="D21" s="7">
        <v>4.9749999999999996</v>
      </c>
      <c r="E21" s="7">
        <v>2.4750000000000001</v>
      </c>
      <c r="F21" s="7">
        <v>4.5075000000000003</v>
      </c>
      <c r="G21" s="7">
        <v>5.3049999999999997</v>
      </c>
      <c r="H21" s="7">
        <v>5.5625</v>
      </c>
      <c r="I21" s="7">
        <v>5.9249999999999998</v>
      </c>
      <c r="J21" s="7">
        <v>17.172499999999999</v>
      </c>
      <c r="K21" s="7">
        <v>15.719999999999999</v>
      </c>
      <c r="L21" s="8">
        <v>20.074999999999999</v>
      </c>
      <c r="M21" s="7">
        <v>21.887499999999999</v>
      </c>
      <c r="N21" s="8">
        <v>22.93</v>
      </c>
      <c r="O21" s="8">
        <v>11.969999999999999</v>
      </c>
      <c r="P21" s="8">
        <v>14.074999999999999</v>
      </c>
      <c r="Q21" s="8">
        <v>15.637499999999999</v>
      </c>
      <c r="R21" s="8">
        <v>16.93</v>
      </c>
      <c r="S21" s="8" t="s">
        <v>63</v>
      </c>
      <c r="T21" s="7"/>
      <c r="U21" s="7"/>
      <c r="V21" s="7"/>
    </row>
    <row r="22" spans="1:22" ht="15.75" customHeight="1">
      <c r="A22" s="2" t="s">
        <v>75</v>
      </c>
      <c r="B22" s="7">
        <v>4.05</v>
      </c>
      <c r="C22" s="7">
        <v>4.05</v>
      </c>
      <c r="D22" s="7">
        <v>5.23</v>
      </c>
      <c r="E22" s="7">
        <v>4.55</v>
      </c>
      <c r="F22" s="7">
        <v>6.0350000000000001</v>
      </c>
      <c r="G22" s="7">
        <v>6.0350000000000001</v>
      </c>
      <c r="H22" s="7">
        <v>6.0350000000000001</v>
      </c>
      <c r="I22" s="7">
        <v>6.2850000000000001</v>
      </c>
      <c r="J22" s="7">
        <v>19.41</v>
      </c>
      <c r="K22" s="7">
        <v>27.95</v>
      </c>
      <c r="L22" s="8">
        <v>27.95</v>
      </c>
      <c r="M22" s="7">
        <v>27.95</v>
      </c>
      <c r="N22" s="8">
        <v>30.45</v>
      </c>
      <c r="O22" s="8">
        <v>21.695</v>
      </c>
      <c r="P22" s="8">
        <v>21.695</v>
      </c>
      <c r="Q22" s="8">
        <v>21.695</v>
      </c>
      <c r="R22" s="8">
        <v>21.695</v>
      </c>
      <c r="S22" s="8" t="s">
        <v>63</v>
      </c>
      <c r="T22" s="7"/>
      <c r="U22" s="7"/>
      <c r="V22" s="7"/>
    </row>
    <row r="23" spans="1:22" ht="15.75" customHeight="1">
      <c r="A23" s="2" t="s">
        <v>76</v>
      </c>
      <c r="B23" s="7">
        <v>3.22</v>
      </c>
      <c r="C23" s="7">
        <v>4.0950000000000006</v>
      </c>
      <c r="D23" s="7">
        <v>6.4649999999999999</v>
      </c>
      <c r="E23" s="7">
        <v>3.1375000000000002</v>
      </c>
      <c r="F23" s="7">
        <v>9.3000000000000007</v>
      </c>
      <c r="G23" s="7">
        <v>10.199999999999999</v>
      </c>
      <c r="H23" s="7">
        <v>12.025</v>
      </c>
      <c r="I23" s="7">
        <v>12.9</v>
      </c>
      <c r="J23" s="7">
        <v>19.024999999999999</v>
      </c>
      <c r="K23" s="7">
        <v>36.5</v>
      </c>
      <c r="L23" s="8">
        <v>45.95</v>
      </c>
      <c r="M23" s="7">
        <v>51.325000000000003</v>
      </c>
      <c r="N23" s="8">
        <v>53.4</v>
      </c>
      <c r="O23" s="8">
        <v>17.495000000000001</v>
      </c>
      <c r="P23" s="8">
        <v>21.87</v>
      </c>
      <c r="Q23" s="8">
        <v>22.12</v>
      </c>
      <c r="R23" s="8">
        <v>24.225000000000001</v>
      </c>
      <c r="S23" s="8" t="s">
        <v>63</v>
      </c>
      <c r="T23" s="7"/>
      <c r="U23" s="7"/>
      <c r="V23" s="7"/>
    </row>
    <row r="24" spans="1:22" ht="15.75" customHeight="1">
      <c r="A24" s="2" t="s">
        <v>77</v>
      </c>
      <c r="B24" s="7">
        <v>3.4666666666666668</v>
      </c>
      <c r="C24" s="7">
        <v>3.4666666666666668</v>
      </c>
      <c r="D24" s="7">
        <v>4.2</v>
      </c>
      <c r="E24" s="7">
        <v>3.4666666666666668</v>
      </c>
      <c r="F24" s="7">
        <v>4.5666666666666673</v>
      </c>
      <c r="G24" s="7">
        <v>4.9000000000000004</v>
      </c>
      <c r="H24" s="7">
        <v>4.9000000000000004</v>
      </c>
      <c r="I24" s="7">
        <v>4.9000000000000004</v>
      </c>
      <c r="J24" s="7">
        <v>21.666666666666668</v>
      </c>
      <c r="K24" s="7">
        <v>31.666666666666668</v>
      </c>
      <c r="L24" s="8">
        <v>43.333333333333336</v>
      </c>
      <c r="M24" s="7">
        <v>45</v>
      </c>
      <c r="N24" s="8">
        <v>41.666666666666664</v>
      </c>
      <c r="O24" s="8">
        <v>12.666666666666666</v>
      </c>
      <c r="P24" s="8">
        <v>15.333333333333334</v>
      </c>
      <c r="Q24" s="8">
        <v>17</v>
      </c>
      <c r="R24" s="8">
        <v>17</v>
      </c>
      <c r="S24" s="8" t="s">
        <v>63</v>
      </c>
      <c r="T24" s="7"/>
      <c r="U24" s="7"/>
      <c r="V24" s="7"/>
    </row>
    <row r="25" spans="1:22" ht="15.75" customHeight="1">
      <c r="A25" s="2" t="s">
        <v>78</v>
      </c>
      <c r="B25" s="7">
        <v>2.63</v>
      </c>
      <c r="C25" s="7">
        <v>3.9299999999999997</v>
      </c>
      <c r="D25" s="7">
        <v>6.01</v>
      </c>
      <c r="E25" s="7">
        <v>3.1500000000000004</v>
      </c>
      <c r="F25" s="7">
        <v>8.35</v>
      </c>
      <c r="G25" s="7">
        <v>9.65</v>
      </c>
      <c r="H25" s="7">
        <v>12.250000000000002</v>
      </c>
      <c r="I25" s="7">
        <v>13.55</v>
      </c>
      <c r="J25" s="7">
        <v>17.05</v>
      </c>
      <c r="K25" s="7">
        <v>19.05</v>
      </c>
      <c r="L25" s="8">
        <v>21.55</v>
      </c>
      <c r="M25" s="7">
        <v>24.05</v>
      </c>
      <c r="N25" s="8">
        <v>26.55</v>
      </c>
      <c r="O25" s="8">
        <v>15.55</v>
      </c>
      <c r="P25" s="8">
        <v>18.05</v>
      </c>
      <c r="Q25" s="8">
        <v>20.55</v>
      </c>
      <c r="R25" s="8">
        <v>23.05</v>
      </c>
      <c r="S25" s="8" t="s">
        <v>63</v>
      </c>
      <c r="T25" s="7"/>
      <c r="U25" s="7"/>
      <c r="V25" s="7"/>
    </row>
    <row r="26" spans="1:22" ht="15.75" customHeight="1">
      <c r="A26" s="2" t="s">
        <v>79</v>
      </c>
      <c r="B26" s="7">
        <v>3.395</v>
      </c>
      <c r="C26" s="7">
        <v>3.395</v>
      </c>
      <c r="D26" s="7">
        <v>4.4950000000000001</v>
      </c>
      <c r="E26" s="7">
        <v>3.395</v>
      </c>
      <c r="F26" s="7">
        <v>4.4950000000000001</v>
      </c>
      <c r="G26" s="7">
        <v>4.4950000000000001</v>
      </c>
      <c r="H26" s="7">
        <v>4.4950000000000001</v>
      </c>
      <c r="I26" s="7">
        <v>4.4950000000000001</v>
      </c>
      <c r="J26" s="7">
        <v>13.5</v>
      </c>
      <c r="K26" s="7">
        <v>23.45</v>
      </c>
      <c r="L26" s="8">
        <v>28.25</v>
      </c>
      <c r="M26" s="7">
        <v>31.95</v>
      </c>
      <c r="N26" s="8">
        <v>34.4</v>
      </c>
      <c r="O26" s="8">
        <v>12.85</v>
      </c>
      <c r="P26" s="8">
        <v>12.85</v>
      </c>
      <c r="Q26" s="8">
        <v>12.85</v>
      </c>
      <c r="R26" s="8">
        <v>12.85</v>
      </c>
      <c r="S26" s="8" t="s">
        <v>63</v>
      </c>
      <c r="T26" s="7"/>
      <c r="U26" s="7"/>
      <c r="V26" s="7"/>
    </row>
    <row r="27" spans="1:22" ht="15.75" customHeight="1">
      <c r="A27" s="2" t="s">
        <v>80</v>
      </c>
      <c r="B27" s="7">
        <v>3.3666666666666667</v>
      </c>
      <c r="C27" s="7">
        <v>2.8666666666666667</v>
      </c>
      <c r="D27" s="7">
        <v>5.166666666666667</v>
      </c>
      <c r="E27" s="7">
        <v>3.3666666666666667</v>
      </c>
      <c r="F27" s="7">
        <v>8.8333333333333339</v>
      </c>
      <c r="G27" s="7">
        <v>8.8333333333333339</v>
      </c>
      <c r="H27" s="7">
        <v>8.8333333333333339</v>
      </c>
      <c r="I27" s="7">
        <v>9.1666666666666661</v>
      </c>
      <c r="J27" s="7">
        <v>23</v>
      </c>
      <c r="K27" s="7">
        <v>25.666666666666668</v>
      </c>
      <c r="L27" s="8">
        <v>27.333333333333332</v>
      </c>
      <c r="M27" s="7">
        <v>29.666666666666668</v>
      </c>
      <c r="N27" s="8">
        <v>31.666666666666668</v>
      </c>
      <c r="O27" s="8">
        <v>12</v>
      </c>
      <c r="P27" s="8">
        <v>12.666666666666666</v>
      </c>
      <c r="Q27" s="8">
        <v>12.666666666666666</v>
      </c>
      <c r="R27" s="8">
        <v>13.666666666666666</v>
      </c>
      <c r="S27" s="8" t="s">
        <v>63</v>
      </c>
      <c r="T27" s="7"/>
      <c r="U27" s="7"/>
      <c r="V27" s="7"/>
    </row>
    <row r="28" spans="1:22" ht="15.75" customHeight="1">
      <c r="A28" s="2" t="s">
        <v>81</v>
      </c>
      <c r="B28" s="7">
        <v>1.9093333333333333</v>
      </c>
      <c r="C28" s="7">
        <v>3.1026666666666665</v>
      </c>
      <c r="D28" s="7">
        <v>5.0120000000000005</v>
      </c>
      <c r="E28" s="7">
        <v>2.3866666666666667</v>
      </c>
      <c r="F28" s="7">
        <v>7.16</v>
      </c>
      <c r="G28" s="7">
        <v>8.3533333333333335</v>
      </c>
      <c r="H28" s="7">
        <v>10.74</v>
      </c>
      <c r="I28" s="7">
        <v>11.933333333333332</v>
      </c>
      <c r="J28" s="7">
        <v>13.126666666666667</v>
      </c>
      <c r="K28" s="7">
        <v>29.2</v>
      </c>
      <c r="L28" s="8">
        <v>35.693333333333335</v>
      </c>
      <c r="M28" s="7">
        <v>36.993333333333332</v>
      </c>
      <c r="N28" s="8">
        <v>41.853333333333332</v>
      </c>
      <c r="O28" s="8">
        <v>12.649333333333336</v>
      </c>
      <c r="P28" s="8">
        <v>18.616000000000003</v>
      </c>
      <c r="Q28" s="8">
        <v>18.616000000000003</v>
      </c>
      <c r="R28" s="8">
        <v>21.48</v>
      </c>
      <c r="S28" s="8" t="s">
        <v>63</v>
      </c>
      <c r="T28" s="7"/>
      <c r="U28" s="7"/>
      <c r="V28" s="7"/>
    </row>
    <row r="29" spans="1:22" ht="15.75" customHeight="1">
      <c r="A29" s="2" t="s">
        <v>82</v>
      </c>
      <c r="B29" s="7">
        <v>3</v>
      </c>
      <c r="C29" s="7">
        <v>3</v>
      </c>
      <c r="D29" s="7">
        <v>4</v>
      </c>
      <c r="E29" s="7">
        <v>3</v>
      </c>
      <c r="F29" s="7">
        <v>4</v>
      </c>
      <c r="G29" s="7">
        <v>5</v>
      </c>
      <c r="H29" s="7">
        <v>5</v>
      </c>
      <c r="I29" s="7">
        <v>5</v>
      </c>
      <c r="J29" s="7">
        <v>25</v>
      </c>
      <c r="K29" s="7">
        <v>18</v>
      </c>
      <c r="L29" s="8">
        <v>20</v>
      </c>
      <c r="M29" s="7">
        <v>25</v>
      </c>
      <c r="N29" s="8">
        <v>18</v>
      </c>
      <c r="O29" s="8">
        <v>8</v>
      </c>
      <c r="P29" s="8">
        <v>10</v>
      </c>
      <c r="Q29" s="8">
        <v>12</v>
      </c>
      <c r="R29" s="8">
        <v>12</v>
      </c>
      <c r="S29" s="8" t="s">
        <v>63</v>
      </c>
      <c r="T29" s="7"/>
      <c r="U29" s="7"/>
      <c r="V29" s="7"/>
    </row>
    <row r="30" spans="1:22" ht="15.75" customHeight="1">
      <c r="A30" s="2" t="s">
        <v>83</v>
      </c>
      <c r="B30" s="7">
        <v>6</v>
      </c>
      <c r="C30" s="7">
        <v>6</v>
      </c>
      <c r="D30" s="7">
        <v>7.5</v>
      </c>
      <c r="E30" s="7">
        <v>3.5</v>
      </c>
      <c r="F30" s="7">
        <v>8</v>
      </c>
      <c r="G30" s="7">
        <v>8</v>
      </c>
      <c r="H30" s="7">
        <v>8</v>
      </c>
      <c r="I30" s="7">
        <v>8</v>
      </c>
      <c r="J30" s="7">
        <v>28</v>
      </c>
      <c r="K30" s="7">
        <v>25</v>
      </c>
      <c r="L30" s="8">
        <v>25</v>
      </c>
      <c r="M30" s="7">
        <v>28</v>
      </c>
      <c r="N30" s="8">
        <v>32</v>
      </c>
      <c r="O30" s="8">
        <v>25</v>
      </c>
      <c r="P30" s="8">
        <v>25</v>
      </c>
      <c r="Q30" s="8">
        <v>30</v>
      </c>
      <c r="R30" s="8">
        <v>30</v>
      </c>
      <c r="S30" s="8" t="s">
        <v>63</v>
      </c>
      <c r="T30" s="7"/>
      <c r="U30" s="7"/>
      <c r="V30" s="7"/>
    </row>
    <row r="31" spans="1:22" ht="15.75" customHeight="1">
      <c r="A31" s="2" t="s">
        <v>84</v>
      </c>
      <c r="B31" s="7">
        <v>3.3</v>
      </c>
      <c r="C31" s="7">
        <v>3.3</v>
      </c>
      <c r="D31" s="7">
        <v>3.3</v>
      </c>
      <c r="E31" s="7">
        <v>3.3</v>
      </c>
      <c r="F31" s="7">
        <v>3.3</v>
      </c>
      <c r="G31" s="7">
        <v>3.3</v>
      </c>
      <c r="H31" s="7">
        <v>3.3</v>
      </c>
      <c r="I31" s="7">
        <v>3.3</v>
      </c>
      <c r="J31" s="7">
        <v>23.5</v>
      </c>
      <c r="K31" s="7">
        <v>22.5</v>
      </c>
      <c r="L31" s="8">
        <v>23.5</v>
      </c>
      <c r="M31" s="7">
        <v>23.5</v>
      </c>
      <c r="N31" s="8">
        <v>23.5</v>
      </c>
      <c r="O31" s="8">
        <v>14.5</v>
      </c>
      <c r="P31" s="8">
        <v>15</v>
      </c>
      <c r="Q31" s="8">
        <v>15</v>
      </c>
      <c r="R31" s="8">
        <v>15</v>
      </c>
      <c r="S31" s="8" t="s">
        <v>63</v>
      </c>
      <c r="T31" s="7"/>
      <c r="U31" s="7"/>
      <c r="V31" s="7"/>
    </row>
    <row r="32" spans="1:22" ht="15.75" customHeight="1">
      <c r="A32" s="2" t="s">
        <v>85</v>
      </c>
      <c r="B32" s="7">
        <v>2.25</v>
      </c>
      <c r="C32" s="7">
        <v>2.25</v>
      </c>
      <c r="D32" s="7">
        <v>2.5</v>
      </c>
      <c r="E32" s="7">
        <v>2.5</v>
      </c>
      <c r="F32" s="7">
        <v>2.9166666666666665</v>
      </c>
      <c r="G32" s="7">
        <v>2.9166666666666665</v>
      </c>
      <c r="H32" s="7">
        <v>2.9166666666666665</v>
      </c>
      <c r="I32" s="7">
        <v>2.9166666666666665</v>
      </c>
      <c r="J32" s="7">
        <v>15</v>
      </c>
      <c r="K32" s="7">
        <v>23.666666666666668</v>
      </c>
      <c r="L32" s="8">
        <v>32.666666666666664</v>
      </c>
      <c r="M32" s="7">
        <v>41</v>
      </c>
      <c r="N32" s="8">
        <v>37.666666666666664</v>
      </c>
      <c r="O32" s="8">
        <v>12.333333333333334</v>
      </c>
      <c r="P32" s="8">
        <v>12.333333333333334</v>
      </c>
      <c r="Q32" s="8">
        <v>14</v>
      </c>
      <c r="R32" s="8">
        <v>14</v>
      </c>
      <c r="S32" s="8" t="s">
        <v>63</v>
      </c>
      <c r="T32" s="7"/>
      <c r="U32" s="7"/>
      <c r="V32" s="7"/>
    </row>
    <row r="33" spans="1:22" ht="15.75" customHeight="1">
      <c r="A33" s="2" t="s">
        <v>86</v>
      </c>
      <c r="B33" s="7">
        <v>2.25</v>
      </c>
      <c r="C33" s="7">
        <v>2.25</v>
      </c>
      <c r="D33" s="7">
        <v>2.5</v>
      </c>
      <c r="E33" s="7">
        <v>2.5</v>
      </c>
      <c r="F33" s="7">
        <v>2.9166666666666665</v>
      </c>
      <c r="G33" s="7">
        <v>2.9166666666666665</v>
      </c>
      <c r="H33" s="7">
        <v>2.9166666666666665</v>
      </c>
      <c r="I33" s="7">
        <v>2.9166666666666665</v>
      </c>
      <c r="J33" s="7">
        <v>15</v>
      </c>
      <c r="K33" s="7">
        <v>23.666666666666668</v>
      </c>
      <c r="L33" s="8">
        <v>32.666666666666664</v>
      </c>
      <c r="M33" s="7">
        <v>41</v>
      </c>
      <c r="N33" s="8">
        <v>37.666666666666664</v>
      </c>
      <c r="O33" s="8">
        <v>12.333333333333334</v>
      </c>
      <c r="P33" s="8">
        <v>12.333333333333334</v>
      </c>
      <c r="Q33" s="8">
        <v>14</v>
      </c>
      <c r="R33" s="8">
        <v>14</v>
      </c>
      <c r="S33" s="8" t="s">
        <v>63</v>
      </c>
      <c r="T33" s="7"/>
      <c r="U33" s="7"/>
      <c r="V33" s="7"/>
    </row>
    <row r="34" spans="1:22" ht="15.75" customHeight="1">
      <c r="A34" s="2" t="s">
        <v>87</v>
      </c>
      <c r="B34" s="7">
        <v>2.25</v>
      </c>
      <c r="C34" s="7">
        <v>2.25</v>
      </c>
      <c r="D34" s="7">
        <v>2.5</v>
      </c>
      <c r="E34" s="7">
        <v>2.5</v>
      </c>
      <c r="F34" s="7">
        <v>2.9166666666666665</v>
      </c>
      <c r="G34" s="7">
        <v>2.9166666666666665</v>
      </c>
      <c r="H34" s="7">
        <v>2.9166666666666665</v>
      </c>
      <c r="I34" s="7">
        <v>2.9166666666666665</v>
      </c>
      <c r="J34" s="7">
        <v>15</v>
      </c>
      <c r="K34" s="7">
        <v>23.666666666666668</v>
      </c>
      <c r="L34" s="8">
        <v>32.666666666666664</v>
      </c>
      <c r="M34" s="7">
        <v>41</v>
      </c>
      <c r="N34" s="8">
        <v>37.666666666666664</v>
      </c>
      <c r="O34" s="8">
        <v>12.333333333333334</v>
      </c>
      <c r="P34" s="8">
        <v>12.333333333333334</v>
      </c>
      <c r="Q34" s="8">
        <v>14</v>
      </c>
      <c r="R34" s="8">
        <v>14</v>
      </c>
      <c r="S34" s="8" t="s">
        <v>63</v>
      </c>
      <c r="T34" s="7"/>
      <c r="U34" s="7"/>
      <c r="V34" s="7"/>
    </row>
    <row r="35" spans="1:22" ht="15.75" customHeight="1">
      <c r="A35" s="2" t="s">
        <v>88</v>
      </c>
      <c r="B35" s="7">
        <v>2.15</v>
      </c>
      <c r="C35" s="7">
        <v>2.25</v>
      </c>
      <c r="D35" s="7">
        <v>3.5</v>
      </c>
      <c r="E35" s="7">
        <v>1.9</v>
      </c>
      <c r="F35" s="7">
        <v>3.2</v>
      </c>
      <c r="G35" s="7">
        <v>3.9</v>
      </c>
      <c r="H35" s="7">
        <v>4.0999999999999996</v>
      </c>
      <c r="I35" s="7">
        <v>4.3</v>
      </c>
      <c r="J35" s="7">
        <v>8</v>
      </c>
      <c r="K35" s="7">
        <v>8</v>
      </c>
      <c r="L35" s="8">
        <v>11</v>
      </c>
      <c r="M35" s="7">
        <v>12</v>
      </c>
      <c r="N35" s="8">
        <v>12.5</v>
      </c>
      <c r="O35" s="8">
        <v>4</v>
      </c>
      <c r="P35" s="8">
        <v>4.5</v>
      </c>
      <c r="Q35" s="8">
        <v>5</v>
      </c>
      <c r="R35" s="8">
        <v>5.5</v>
      </c>
      <c r="S35" s="8" t="s">
        <v>63</v>
      </c>
      <c r="T35" s="7"/>
      <c r="U35" s="7"/>
      <c r="V35" s="7"/>
    </row>
    <row r="36" spans="1:22" ht="15.75" customHeight="1">
      <c r="A36" s="2" t="s">
        <v>89</v>
      </c>
      <c r="B36" s="7">
        <v>3</v>
      </c>
      <c r="C36" s="7">
        <v>3.7</v>
      </c>
      <c r="D36" s="7">
        <v>5</v>
      </c>
      <c r="E36" s="7">
        <v>3</v>
      </c>
      <c r="F36" s="7">
        <v>5</v>
      </c>
      <c r="G36" s="7">
        <v>5</v>
      </c>
      <c r="H36" s="7">
        <v>5</v>
      </c>
      <c r="I36" s="7">
        <v>5</v>
      </c>
      <c r="J36" s="7">
        <v>13</v>
      </c>
      <c r="K36" s="7">
        <v>13</v>
      </c>
      <c r="L36" s="8">
        <v>13</v>
      </c>
      <c r="M36" s="7">
        <v>13</v>
      </c>
      <c r="N36" s="8">
        <v>13</v>
      </c>
      <c r="O36" s="8">
        <v>16</v>
      </c>
      <c r="P36" s="8">
        <v>16</v>
      </c>
      <c r="Q36" s="8">
        <v>16</v>
      </c>
      <c r="R36" s="8">
        <v>16</v>
      </c>
      <c r="S36" s="8" t="s">
        <v>63</v>
      </c>
      <c r="T36" s="7"/>
      <c r="U36" s="7"/>
      <c r="V36" s="7"/>
    </row>
    <row r="37" spans="1:22" ht="15.75" customHeight="1">
      <c r="A37" s="2" t="s">
        <v>90</v>
      </c>
      <c r="B37" s="7">
        <v>3</v>
      </c>
      <c r="C37" s="7">
        <v>3.7</v>
      </c>
      <c r="D37" s="7">
        <v>5</v>
      </c>
      <c r="E37" s="7">
        <v>3</v>
      </c>
      <c r="F37" s="7">
        <v>5</v>
      </c>
      <c r="G37" s="7">
        <v>5</v>
      </c>
      <c r="H37" s="7">
        <v>5</v>
      </c>
      <c r="I37" s="7">
        <v>5</v>
      </c>
      <c r="J37" s="7">
        <v>13</v>
      </c>
      <c r="K37" s="7">
        <v>13</v>
      </c>
      <c r="L37" s="8">
        <v>13</v>
      </c>
      <c r="M37" s="7">
        <v>13</v>
      </c>
      <c r="N37" s="8">
        <v>13</v>
      </c>
      <c r="O37" s="8">
        <v>16</v>
      </c>
      <c r="P37" s="8">
        <v>16</v>
      </c>
      <c r="Q37" s="8">
        <v>16</v>
      </c>
      <c r="R37" s="8">
        <v>16</v>
      </c>
      <c r="S37" s="8" t="s">
        <v>63</v>
      </c>
      <c r="T37" s="7"/>
      <c r="U37" s="7"/>
      <c r="V37" s="7"/>
    </row>
    <row r="38" spans="1:22" ht="15.75" customHeight="1">
      <c r="A38" s="2" t="s">
        <v>91</v>
      </c>
      <c r="B38" s="7">
        <v>3.7199999999999998</v>
      </c>
      <c r="C38" s="7">
        <v>4.34</v>
      </c>
      <c r="D38" s="7">
        <v>5.55</v>
      </c>
      <c r="E38" s="7">
        <v>3.45</v>
      </c>
      <c r="F38" s="7">
        <v>6.2949999999999999</v>
      </c>
      <c r="G38" s="7">
        <v>6.2949999999999999</v>
      </c>
      <c r="H38" s="7">
        <v>6.2949999999999999</v>
      </c>
      <c r="I38" s="7">
        <v>6.2949999999999999</v>
      </c>
      <c r="J38" s="7">
        <v>32.5</v>
      </c>
      <c r="K38" s="7">
        <v>35</v>
      </c>
      <c r="L38" s="8">
        <v>37.5</v>
      </c>
      <c r="M38" s="7">
        <v>40</v>
      </c>
      <c r="N38" s="8">
        <v>43.5</v>
      </c>
      <c r="O38" s="8">
        <v>17.5</v>
      </c>
      <c r="P38" s="8">
        <v>22.5</v>
      </c>
      <c r="Q38" s="8">
        <v>27.5</v>
      </c>
      <c r="R38" s="8">
        <v>31.5</v>
      </c>
      <c r="S38" s="8" t="s">
        <v>63</v>
      </c>
      <c r="T38" s="7"/>
      <c r="U38" s="7"/>
      <c r="V38" s="7"/>
    </row>
    <row r="39" spans="1:22" ht="15.75" customHeight="1">
      <c r="A39" s="2" t="s">
        <v>92</v>
      </c>
      <c r="B39" s="7">
        <v>3</v>
      </c>
      <c r="C39" s="7">
        <v>3.7</v>
      </c>
      <c r="D39" s="7">
        <v>5</v>
      </c>
      <c r="E39" s="7">
        <v>3</v>
      </c>
      <c r="F39" s="7">
        <v>5</v>
      </c>
      <c r="G39" s="7">
        <v>5</v>
      </c>
      <c r="H39" s="7">
        <v>5</v>
      </c>
      <c r="I39" s="7">
        <v>5</v>
      </c>
      <c r="J39" s="7">
        <v>13</v>
      </c>
      <c r="K39" s="7">
        <v>13</v>
      </c>
      <c r="L39" s="8">
        <v>13</v>
      </c>
      <c r="M39" s="7">
        <v>13</v>
      </c>
      <c r="N39" s="8">
        <v>13</v>
      </c>
      <c r="O39" s="8">
        <v>16</v>
      </c>
      <c r="P39" s="8">
        <v>16</v>
      </c>
      <c r="Q39" s="8">
        <v>16</v>
      </c>
      <c r="R39" s="8">
        <v>16</v>
      </c>
      <c r="S39" s="8" t="s">
        <v>63</v>
      </c>
      <c r="T39" s="7"/>
      <c r="U39" s="7"/>
      <c r="V39" s="7"/>
    </row>
    <row r="40" spans="1:22" ht="15.75" customHeight="1">
      <c r="A40" s="2" t="s">
        <v>93</v>
      </c>
      <c r="B40" s="7">
        <v>4.37</v>
      </c>
      <c r="C40" s="7">
        <v>4.37</v>
      </c>
      <c r="D40" s="7">
        <v>5.09</v>
      </c>
      <c r="E40" s="7">
        <v>3.63</v>
      </c>
      <c r="F40" s="7">
        <v>8</v>
      </c>
      <c r="G40" s="7">
        <v>8</v>
      </c>
      <c r="H40" s="7">
        <v>8</v>
      </c>
      <c r="I40" s="7">
        <v>8</v>
      </c>
      <c r="J40" s="7">
        <v>25.86</v>
      </c>
      <c r="K40" s="7">
        <v>12.93</v>
      </c>
      <c r="L40" s="8">
        <v>12.83</v>
      </c>
      <c r="M40" s="7">
        <v>25.86</v>
      </c>
      <c r="N40" s="8">
        <v>25.86</v>
      </c>
      <c r="O40" s="8">
        <v>12.83</v>
      </c>
      <c r="P40" s="8">
        <v>12.83</v>
      </c>
      <c r="Q40" s="8">
        <v>12.83</v>
      </c>
      <c r="R40" s="8">
        <v>12.83</v>
      </c>
      <c r="S40" s="8" t="s">
        <v>63</v>
      </c>
      <c r="T40" s="7"/>
      <c r="U40" s="7"/>
      <c r="V40" s="7"/>
    </row>
    <row r="41" spans="1:22" ht="15.75" customHeight="1">
      <c r="A41" s="2" t="s">
        <v>94</v>
      </c>
      <c r="B41" s="7">
        <v>1.88</v>
      </c>
      <c r="C41" s="7">
        <v>2.82</v>
      </c>
      <c r="D41" s="7">
        <v>5.18</v>
      </c>
      <c r="E41" s="7">
        <v>0.94</v>
      </c>
      <c r="F41" s="7">
        <v>7.02</v>
      </c>
      <c r="G41" s="7">
        <v>7.52</v>
      </c>
      <c r="H41" s="7">
        <v>9.36</v>
      </c>
      <c r="I41" s="7">
        <v>9.36</v>
      </c>
      <c r="J41" s="7">
        <v>17.850000000000001</v>
      </c>
      <c r="K41" s="7">
        <v>24.43</v>
      </c>
      <c r="L41" s="8">
        <v>30.55</v>
      </c>
      <c r="M41" s="7">
        <v>30.55</v>
      </c>
      <c r="N41" s="8">
        <v>30.55</v>
      </c>
      <c r="O41" s="8">
        <v>7.08</v>
      </c>
      <c r="P41" s="8">
        <v>7.08</v>
      </c>
      <c r="Q41" s="8">
        <v>7.08</v>
      </c>
      <c r="R41" s="8">
        <v>7.08</v>
      </c>
      <c r="S41" s="8" t="s">
        <v>63</v>
      </c>
      <c r="T41" s="7"/>
      <c r="U41" s="7"/>
      <c r="V41" s="7"/>
    </row>
    <row r="42" spans="1:22" ht="15.75" customHeight="1">
      <c r="A42" s="2" t="s">
        <v>95</v>
      </c>
      <c r="B42" s="7">
        <v>2.7519999999999998</v>
      </c>
      <c r="C42" s="7">
        <v>3.5345</v>
      </c>
      <c r="D42" s="7">
        <v>4.7865000000000002</v>
      </c>
      <c r="E42" s="7">
        <v>3.0649999999999999</v>
      </c>
      <c r="F42" s="7">
        <v>6.1950000000000003</v>
      </c>
      <c r="G42" s="7">
        <v>6.9774999999999991</v>
      </c>
      <c r="H42" s="7">
        <v>8.5425000000000004</v>
      </c>
      <c r="I42" s="7">
        <v>9.3249999999999993</v>
      </c>
      <c r="J42" s="7">
        <v>16.607500000000002</v>
      </c>
      <c r="K42" s="7">
        <v>30.65</v>
      </c>
      <c r="L42" s="8">
        <v>36.594999999999999</v>
      </c>
      <c r="M42" s="7">
        <v>41.7575</v>
      </c>
      <c r="N42" s="8">
        <v>42.54</v>
      </c>
      <c r="O42" s="8">
        <v>12.544499999999999</v>
      </c>
      <c r="P42" s="8">
        <v>16.457000000000001</v>
      </c>
      <c r="Q42" s="8">
        <v>16.457000000000001</v>
      </c>
      <c r="R42" s="8">
        <v>18.335000000000001</v>
      </c>
      <c r="S42" s="8" t="s">
        <v>63</v>
      </c>
      <c r="T42" s="7"/>
      <c r="U42" s="7"/>
      <c r="V42" s="7"/>
    </row>
    <row r="43" spans="1:22" ht="15.75" customHeight="1">
      <c r="A43" s="2" t="s">
        <v>96</v>
      </c>
      <c r="B43" s="7">
        <v>4</v>
      </c>
      <c r="C43" s="7">
        <v>6.5</v>
      </c>
      <c r="D43" s="7">
        <v>10.5</v>
      </c>
      <c r="E43" s="7">
        <v>5</v>
      </c>
      <c r="F43" s="7">
        <v>15</v>
      </c>
      <c r="G43" s="7">
        <v>17.5</v>
      </c>
      <c r="H43" s="7">
        <v>22.5</v>
      </c>
      <c r="I43" s="7">
        <v>25</v>
      </c>
      <c r="J43" s="7">
        <v>27.500000000000004</v>
      </c>
      <c r="K43" s="7">
        <v>50</v>
      </c>
      <c r="L43" s="8">
        <v>65</v>
      </c>
      <c r="M43" s="7">
        <v>77.5</v>
      </c>
      <c r="N43" s="8">
        <v>80</v>
      </c>
      <c r="O43" s="8">
        <v>26.5</v>
      </c>
      <c r="P43" s="8">
        <v>39</v>
      </c>
      <c r="Q43" s="8">
        <v>39</v>
      </c>
      <c r="R43" s="8">
        <v>45</v>
      </c>
      <c r="S43" s="8" t="s">
        <v>63</v>
      </c>
      <c r="T43" s="7"/>
      <c r="U43" s="7"/>
      <c r="V43" s="7"/>
    </row>
    <row r="44" spans="1:22" ht="15.75" customHeight="1">
      <c r="A44" s="2" t="s">
        <v>97</v>
      </c>
      <c r="B44" s="7">
        <v>4.4000000000000004</v>
      </c>
      <c r="C44" s="7">
        <v>5.9</v>
      </c>
      <c r="D44" s="7">
        <v>9.3000000000000007</v>
      </c>
      <c r="E44" s="7">
        <v>4.5</v>
      </c>
      <c r="F44" s="7">
        <v>12</v>
      </c>
      <c r="G44" s="7">
        <v>14</v>
      </c>
      <c r="H44" s="7">
        <v>17</v>
      </c>
      <c r="I44" s="7">
        <v>19</v>
      </c>
      <c r="J44" s="7">
        <v>28</v>
      </c>
      <c r="K44" s="7">
        <v>31.5</v>
      </c>
      <c r="L44" s="8">
        <v>34</v>
      </c>
      <c r="M44" s="7">
        <v>35</v>
      </c>
      <c r="N44" s="8">
        <v>35</v>
      </c>
      <c r="O44" s="8">
        <v>11</v>
      </c>
      <c r="P44" s="8">
        <v>12</v>
      </c>
      <c r="Q44" s="8">
        <v>14</v>
      </c>
      <c r="R44" s="8">
        <v>15</v>
      </c>
      <c r="S44" s="8" t="s">
        <v>63</v>
      </c>
      <c r="T44" s="7"/>
      <c r="U44" s="7"/>
      <c r="V44" s="7"/>
    </row>
    <row r="45" spans="1:22" ht="15.75" customHeight="1">
      <c r="A45" s="2" t="s">
        <v>98</v>
      </c>
      <c r="B45" s="7">
        <v>1.2</v>
      </c>
      <c r="C45" s="7">
        <v>1.5</v>
      </c>
      <c r="D45" s="7">
        <v>2.2000000000000002</v>
      </c>
      <c r="E45" s="7">
        <v>1</v>
      </c>
      <c r="F45" s="7">
        <v>2.5</v>
      </c>
      <c r="G45" s="7">
        <v>2.8</v>
      </c>
      <c r="H45" s="7">
        <v>2.8</v>
      </c>
      <c r="I45" s="7">
        <v>2.8</v>
      </c>
      <c r="J45" s="7">
        <v>7</v>
      </c>
      <c r="K45" s="7">
        <v>25</v>
      </c>
      <c r="L45" s="8">
        <v>25</v>
      </c>
      <c r="M45" s="7">
        <v>25</v>
      </c>
      <c r="N45" s="8">
        <v>25</v>
      </c>
      <c r="O45" s="8">
        <v>15</v>
      </c>
      <c r="P45" s="8">
        <v>15</v>
      </c>
      <c r="Q45" s="8">
        <v>15</v>
      </c>
      <c r="R45" s="8">
        <v>15</v>
      </c>
      <c r="S45" s="8" t="s">
        <v>63</v>
      </c>
      <c r="T45" s="7"/>
      <c r="U45" s="7"/>
      <c r="V45" s="7"/>
    </row>
    <row r="46" spans="1:22" ht="15.75" customHeight="1">
      <c r="A46" s="2" t="s">
        <v>99</v>
      </c>
      <c r="B46" s="7">
        <v>1.2</v>
      </c>
      <c r="C46" s="7">
        <v>1.5</v>
      </c>
      <c r="D46" s="7">
        <v>2.2000000000000002</v>
      </c>
      <c r="E46" s="7">
        <v>1</v>
      </c>
      <c r="F46" s="7">
        <v>2.5</v>
      </c>
      <c r="G46" s="7">
        <v>2.8</v>
      </c>
      <c r="H46" s="7">
        <v>2.8</v>
      </c>
      <c r="I46" s="7">
        <v>2.8</v>
      </c>
      <c r="J46" s="7">
        <v>7</v>
      </c>
      <c r="K46" s="7">
        <v>25</v>
      </c>
      <c r="L46" s="8">
        <v>25</v>
      </c>
      <c r="M46" s="7">
        <v>25</v>
      </c>
      <c r="N46" s="8">
        <v>25</v>
      </c>
      <c r="O46" s="8">
        <v>15</v>
      </c>
      <c r="P46" s="8">
        <v>15</v>
      </c>
      <c r="Q46" s="8">
        <v>15</v>
      </c>
      <c r="R46" s="8">
        <v>15</v>
      </c>
      <c r="S46" s="8" t="s">
        <v>63</v>
      </c>
      <c r="T46" s="7"/>
      <c r="U46" s="7"/>
      <c r="V46" s="7"/>
    </row>
    <row r="47" spans="1:22" ht="15.75" customHeight="1">
      <c r="A47" s="2" t="s">
        <v>100</v>
      </c>
      <c r="B47" s="7">
        <v>1.2</v>
      </c>
      <c r="C47" s="7">
        <v>1.5</v>
      </c>
      <c r="D47" s="7">
        <v>2.2000000000000002</v>
      </c>
      <c r="E47" s="7">
        <v>1</v>
      </c>
      <c r="F47" s="7">
        <v>2.5</v>
      </c>
      <c r="G47" s="7">
        <v>2.8</v>
      </c>
      <c r="H47" s="7">
        <v>2.8</v>
      </c>
      <c r="I47" s="7">
        <v>2.8</v>
      </c>
      <c r="J47" s="7">
        <v>7</v>
      </c>
      <c r="K47" s="7">
        <v>25</v>
      </c>
      <c r="L47" s="8">
        <v>25</v>
      </c>
      <c r="M47" s="7">
        <v>25</v>
      </c>
      <c r="N47" s="8">
        <v>25</v>
      </c>
      <c r="O47" s="8">
        <v>15</v>
      </c>
      <c r="P47" s="8">
        <v>15</v>
      </c>
      <c r="Q47" s="8">
        <v>15</v>
      </c>
      <c r="R47" s="8">
        <v>15</v>
      </c>
      <c r="S47" s="8" t="s">
        <v>63</v>
      </c>
      <c r="T47" s="7"/>
      <c r="U47" s="7"/>
      <c r="V47" s="7"/>
    </row>
    <row r="48" spans="1:22" ht="15.75" customHeight="1">
      <c r="A48" s="2" t="s">
        <v>101</v>
      </c>
      <c r="B48" s="7">
        <v>2.44</v>
      </c>
      <c r="C48" s="7">
        <v>3.68</v>
      </c>
      <c r="D48" s="7">
        <v>6.1</v>
      </c>
      <c r="E48" s="7">
        <v>2.9</v>
      </c>
      <c r="F48" s="7">
        <v>4.59</v>
      </c>
      <c r="G48" s="7">
        <v>4.59</v>
      </c>
      <c r="H48" s="7">
        <v>4.59</v>
      </c>
      <c r="I48" s="7">
        <v>4.59</v>
      </c>
      <c r="J48" s="7">
        <v>35</v>
      </c>
      <c r="K48" s="7">
        <v>35</v>
      </c>
      <c r="L48" s="8">
        <v>40</v>
      </c>
      <c r="M48" s="7">
        <v>45</v>
      </c>
      <c r="N48" s="8">
        <v>52</v>
      </c>
      <c r="O48" s="8">
        <v>20</v>
      </c>
      <c r="P48" s="8">
        <v>30</v>
      </c>
      <c r="Q48" s="8">
        <v>40</v>
      </c>
      <c r="R48" s="8">
        <v>48</v>
      </c>
      <c r="S48" s="8" t="s">
        <v>63</v>
      </c>
      <c r="T48" s="7"/>
      <c r="U48" s="7"/>
      <c r="V48" s="7"/>
    </row>
    <row r="49" spans="1:22" ht="15.75" customHeight="1">
      <c r="A49" s="2" t="s">
        <v>102</v>
      </c>
      <c r="B49" s="7">
        <v>2.8</v>
      </c>
      <c r="C49" s="7">
        <v>4.5500000000000007</v>
      </c>
      <c r="D49" s="7">
        <v>7.35</v>
      </c>
      <c r="E49" s="7">
        <v>3.5</v>
      </c>
      <c r="F49" s="7">
        <v>10.5</v>
      </c>
      <c r="G49" s="7">
        <v>12.25</v>
      </c>
      <c r="H49" s="7">
        <v>15.75</v>
      </c>
      <c r="I49" s="7">
        <v>17.5</v>
      </c>
      <c r="J49" s="7">
        <v>19.25</v>
      </c>
      <c r="K49" s="7">
        <v>35</v>
      </c>
      <c r="L49" s="8">
        <v>45.5</v>
      </c>
      <c r="M49" s="7">
        <v>54.25</v>
      </c>
      <c r="N49" s="8">
        <v>56</v>
      </c>
      <c r="O49" s="8">
        <v>18.55</v>
      </c>
      <c r="P49" s="8">
        <v>27.300000000000004</v>
      </c>
      <c r="Q49" s="8">
        <v>27.300000000000004</v>
      </c>
      <c r="R49" s="8">
        <v>31.5</v>
      </c>
      <c r="S49" s="8" t="s">
        <v>63</v>
      </c>
      <c r="T49" s="7"/>
      <c r="U49" s="7"/>
      <c r="V49" s="7"/>
    </row>
    <row r="50" spans="1:22" ht="15.75" customHeight="1">
      <c r="A50" s="2" t="s">
        <v>103</v>
      </c>
      <c r="B50" s="7">
        <v>3.25</v>
      </c>
      <c r="C50" s="7">
        <v>3.5</v>
      </c>
      <c r="D50" s="7">
        <v>5.25</v>
      </c>
      <c r="E50" s="7">
        <v>3.25</v>
      </c>
      <c r="F50" s="7">
        <v>6</v>
      </c>
      <c r="G50" s="7">
        <v>8.5</v>
      </c>
      <c r="H50" s="7">
        <v>8.5</v>
      </c>
      <c r="I50" s="7">
        <v>9</v>
      </c>
      <c r="J50" s="7">
        <v>18.5</v>
      </c>
      <c r="K50" s="7">
        <v>23.5</v>
      </c>
      <c r="L50" s="8">
        <v>26</v>
      </c>
      <c r="M50" s="7">
        <v>27</v>
      </c>
      <c r="N50" s="8">
        <v>30.5</v>
      </c>
      <c r="O50" s="8">
        <v>14.5</v>
      </c>
      <c r="P50" s="8">
        <v>16.75</v>
      </c>
      <c r="Q50" s="8">
        <v>18.25</v>
      </c>
      <c r="R50" s="8">
        <v>20.25</v>
      </c>
      <c r="S50" s="8" t="s">
        <v>63</v>
      </c>
      <c r="T50" s="7"/>
      <c r="U50" s="7"/>
      <c r="V50" s="7"/>
    </row>
    <row r="51" spans="1:22" ht="15.75" customHeight="1">
      <c r="A51" s="2" t="s">
        <v>104</v>
      </c>
      <c r="B51" s="7">
        <v>3</v>
      </c>
      <c r="C51" s="7">
        <v>3</v>
      </c>
      <c r="D51" s="7">
        <v>6</v>
      </c>
      <c r="E51" s="7">
        <v>3</v>
      </c>
      <c r="F51" s="7">
        <v>6</v>
      </c>
      <c r="G51" s="7">
        <v>6</v>
      </c>
      <c r="H51" s="7">
        <v>6</v>
      </c>
      <c r="I51" s="7">
        <v>6</v>
      </c>
      <c r="J51" s="7">
        <v>25</v>
      </c>
      <c r="K51" s="7">
        <v>25</v>
      </c>
      <c r="L51" s="8">
        <v>40</v>
      </c>
      <c r="M51" s="7">
        <v>50</v>
      </c>
      <c r="N51" s="8">
        <v>85</v>
      </c>
      <c r="O51" s="8">
        <v>15</v>
      </c>
      <c r="P51" s="8">
        <v>15</v>
      </c>
      <c r="Q51" s="8">
        <v>15</v>
      </c>
      <c r="R51" s="8">
        <v>15</v>
      </c>
      <c r="S51" s="8" t="s">
        <v>63</v>
      </c>
      <c r="T51" s="7"/>
      <c r="U51" s="7"/>
      <c r="V51" s="7"/>
    </row>
    <row r="52" spans="1:22" ht="15.75" customHeight="1">
      <c r="A52" s="2" t="s">
        <v>105</v>
      </c>
      <c r="B52" s="7">
        <v>3.6666666666666665</v>
      </c>
      <c r="C52" s="7">
        <v>3.6666666666666665</v>
      </c>
      <c r="D52" s="7">
        <v>7.666666666666667</v>
      </c>
      <c r="E52" s="7">
        <v>3</v>
      </c>
      <c r="F52" s="7">
        <v>7.166666666666667</v>
      </c>
      <c r="G52" s="7">
        <v>8</v>
      </c>
      <c r="H52" s="7">
        <v>8.8333333333333339</v>
      </c>
      <c r="I52" s="7">
        <v>9.6666666666666661</v>
      </c>
      <c r="J52" s="7">
        <v>27.333333333333332</v>
      </c>
      <c r="K52" s="7">
        <v>31.333333333333332</v>
      </c>
      <c r="L52" s="8">
        <v>38.666666666666664</v>
      </c>
      <c r="M52" s="7">
        <v>47.333333333333336</v>
      </c>
      <c r="N52" s="8">
        <v>51</v>
      </c>
      <c r="O52" s="8">
        <v>13</v>
      </c>
      <c r="P52" s="8">
        <v>15.333333333333334</v>
      </c>
      <c r="Q52" s="8">
        <v>16</v>
      </c>
      <c r="R52" s="8">
        <v>16.5</v>
      </c>
      <c r="S52" s="8" t="s">
        <v>63</v>
      </c>
      <c r="T52" s="7"/>
      <c r="U52" s="7"/>
      <c r="V52" s="7"/>
    </row>
    <row r="53" spans="1:22" ht="15.75" customHeight="1">
      <c r="A53" s="2" t="s">
        <v>106</v>
      </c>
      <c r="B53" s="7">
        <v>2.762</v>
      </c>
      <c r="C53" s="7">
        <v>3.7069999999999999</v>
      </c>
      <c r="D53" s="7">
        <v>5.9689999999999994</v>
      </c>
      <c r="E53" s="7">
        <v>3.1399999999999997</v>
      </c>
      <c r="F53" s="7">
        <v>7.669999999999999</v>
      </c>
      <c r="G53" s="7">
        <v>9.3649999999999984</v>
      </c>
      <c r="H53" s="7">
        <v>12.004999999999999</v>
      </c>
      <c r="I53" s="7">
        <v>13.45</v>
      </c>
      <c r="J53" s="7">
        <v>17.895</v>
      </c>
      <c r="K53" s="7">
        <v>27.9</v>
      </c>
      <c r="L53" s="8">
        <v>37.07</v>
      </c>
      <c r="M53" s="7">
        <v>44.295000000000002</v>
      </c>
      <c r="N53" s="8">
        <v>45.239999999999995</v>
      </c>
      <c r="O53" s="8">
        <v>16.016999999999999</v>
      </c>
      <c r="P53" s="8">
        <v>23.741999999999997</v>
      </c>
      <c r="Q53" s="8">
        <v>24.741999999999997</v>
      </c>
      <c r="R53" s="8">
        <v>28.509999999999998</v>
      </c>
      <c r="S53" s="8" t="s">
        <v>63</v>
      </c>
      <c r="T53" s="7"/>
      <c r="U53" s="7"/>
      <c r="V53" s="7"/>
    </row>
    <row r="54" spans="1:22" ht="15.75" customHeight="1">
      <c r="A54" s="2" t="s">
        <v>107</v>
      </c>
      <c r="B54" s="7">
        <v>3.1666666666666665</v>
      </c>
      <c r="C54" s="7">
        <v>3.1666666666666665</v>
      </c>
      <c r="D54" s="7">
        <v>5</v>
      </c>
      <c r="E54" s="7">
        <v>2.3666666666666667</v>
      </c>
      <c r="F54" s="7">
        <v>6.1333333333333329</v>
      </c>
      <c r="G54" s="7">
        <v>7.8</v>
      </c>
      <c r="H54" s="7">
        <v>9.75</v>
      </c>
      <c r="I54" s="7">
        <v>9.75</v>
      </c>
      <c r="J54" s="7">
        <v>23.666666666666668</v>
      </c>
      <c r="K54" s="7">
        <v>16.666666666666668</v>
      </c>
      <c r="L54" s="8">
        <v>20</v>
      </c>
      <c r="M54" s="7">
        <v>24.666666666666668</v>
      </c>
      <c r="N54" s="8">
        <v>27</v>
      </c>
      <c r="O54" s="8">
        <v>12.6</v>
      </c>
      <c r="P54" s="8">
        <v>14.933333333333332</v>
      </c>
      <c r="Q54" s="8">
        <v>16.266666666666666</v>
      </c>
      <c r="R54" s="8">
        <v>17.599999999999998</v>
      </c>
      <c r="S54" s="8" t="s">
        <v>63</v>
      </c>
      <c r="T54" s="7"/>
      <c r="U54" s="7"/>
      <c r="V54" s="7"/>
    </row>
    <row r="55" spans="1:22" ht="15.75" customHeight="1"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2"/>
      <c r="M55" s="21"/>
      <c r="N55" s="22"/>
      <c r="O55" s="22"/>
      <c r="P55" s="22"/>
      <c r="Q55" s="22"/>
      <c r="R55" s="22"/>
      <c r="S55" s="8"/>
      <c r="T55" s="7"/>
      <c r="U55" s="7"/>
      <c r="V55" s="7"/>
    </row>
    <row r="56" spans="1:22" ht="15.75" customHeight="1">
      <c r="B56" s="7"/>
      <c r="C56" s="7"/>
      <c r="D56" s="7"/>
      <c r="E56" s="7"/>
      <c r="F56" s="7"/>
      <c r="G56" s="7"/>
      <c r="H56" s="7"/>
      <c r="I56" s="7"/>
      <c r="J56" s="7"/>
      <c r="K56" s="7"/>
      <c r="L56" s="8"/>
      <c r="M56" s="7"/>
      <c r="N56" s="8"/>
      <c r="O56" s="8"/>
      <c r="P56" s="8"/>
      <c r="Q56" s="8"/>
      <c r="R56" s="8"/>
      <c r="S56" s="8"/>
      <c r="T56" s="7"/>
      <c r="U56" s="7"/>
      <c r="V56" s="7"/>
    </row>
    <row r="57" spans="1:22" ht="15.75" customHeight="1">
      <c r="B57" s="7"/>
      <c r="C57" s="7"/>
      <c r="D57" s="7"/>
      <c r="E57" s="7"/>
      <c r="F57" s="7"/>
      <c r="G57" s="7"/>
      <c r="H57" s="7"/>
      <c r="I57" s="7"/>
      <c r="J57" s="7"/>
      <c r="K57" s="7"/>
      <c r="L57" s="8"/>
      <c r="M57" s="7"/>
      <c r="N57" s="8"/>
      <c r="O57" s="8"/>
      <c r="P57" s="8"/>
      <c r="Q57" s="8"/>
      <c r="R57" s="8"/>
      <c r="S57" s="8" t="s">
        <v>63</v>
      </c>
      <c r="T57" s="7"/>
      <c r="U57" s="7"/>
      <c r="V57" s="7"/>
    </row>
    <row r="58" spans="1:22" ht="15.75" customHeight="1">
      <c r="B58" s="7"/>
      <c r="C58" s="7"/>
      <c r="D58" s="7"/>
      <c r="E58" s="7"/>
      <c r="F58" s="7"/>
      <c r="G58" s="7"/>
      <c r="H58" s="7"/>
      <c r="I58" s="7"/>
      <c r="J58" s="7"/>
      <c r="K58" s="7"/>
      <c r="L58" s="8"/>
      <c r="M58" s="7"/>
      <c r="N58" s="8"/>
      <c r="O58" s="8"/>
      <c r="P58" s="8"/>
      <c r="Q58" s="8"/>
      <c r="R58" s="8"/>
      <c r="S58" s="8" t="s">
        <v>63</v>
      </c>
      <c r="T58" s="7"/>
      <c r="U58" s="7"/>
      <c r="V58" s="7"/>
    </row>
    <row r="59" spans="1:22" ht="15.75" customHeight="1">
      <c r="B59" s="7"/>
      <c r="C59" s="7"/>
      <c r="D59" s="7"/>
      <c r="E59" s="7"/>
      <c r="F59" s="7"/>
      <c r="G59" s="7"/>
      <c r="H59" s="7"/>
      <c r="I59" s="7"/>
      <c r="J59" s="7"/>
      <c r="K59" s="7"/>
      <c r="L59" s="8"/>
      <c r="M59" s="7"/>
      <c r="N59" s="8"/>
      <c r="O59" s="8"/>
      <c r="P59" s="8"/>
      <c r="Q59" s="8"/>
      <c r="R59" s="8"/>
      <c r="S59" s="8" t="s">
        <v>63</v>
      </c>
      <c r="T59" s="7"/>
      <c r="U59" s="7"/>
      <c r="V59" s="7"/>
    </row>
    <row r="60" spans="1:22" ht="15.75" customHeight="1">
      <c r="B60" s="7"/>
      <c r="C60" s="7"/>
      <c r="D60" s="7"/>
      <c r="E60" s="7"/>
      <c r="F60" s="7"/>
      <c r="G60" s="7"/>
      <c r="H60" s="7"/>
      <c r="I60" s="7"/>
      <c r="J60" s="7"/>
      <c r="K60" s="7"/>
      <c r="L60" s="8"/>
      <c r="M60" s="7"/>
      <c r="N60" s="8"/>
      <c r="O60" s="8"/>
      <c r="P60" s="8"/>
      <c r="Q60" s="8"/>
      <c r="R60" s="8"/>
      <c r="S60" s="8" t="s">
        <v>63</v>
      </c>
      <c r="T60" s="7"/>
      <c r="U60" s="7"/>
      <c r="V60" s="7"/>
    </row>
    <row r="61" spans="1:22" ht="15.75" customHeight="1">
      <c r="B61" s="7"/>
      <c r="C61" s="7"/>
      <c r="D61" s="7"/>
      <c r="E61" s="7"/>
      <c r="F61" s="7"/>
      <c r="G61" s="7"/>
      <c r="H61" s="7"/>
      <c r="I61" s="7"/>
      <c r="J61" s="7"/>
      <c r="K61" s="7"/>
      <c r="L61" s="8"/>
      <c r="M61" s="7"/>
      <c r="N61" s="8"/>
      <c r="O61" s="8"/>
      <c r="P61" s="8"/>
      <c r="Q61" s="8"/>
      <c r="R61" s="8"/>
      <c r="S61" s="8" t="s">
        <v>63</v>
      </c>
      <c r="T61" s="7"/>
      <c r="U61" s="7"/>
      <c r="V61" s="7"/>
    </row>
    <row r="62" spans="1:22" ht="15.75" customHeight="1">
      <c r="B62" s="7"/>
      <c r="C62" s="7"/>
      <c r="D62" s="7"/>
      <c r="E62" s="7"/>
      <c r="F62" s="7"/>
      <c r="G62" s="7"/>
      <c r="H62" s="7"/>
      <c r="I62" s="7"/>
      <c r="J62" s="7"/>
      <c r="K62" s="7"/>
      <c r="L62" s="8"/>
      <c r="M62" s="7"/>
      <c r="N62" s="8"/>
      <c r="O62" s="8"/>
      <c r="P62" s="8"/>
      <c r="Q62" s="8"/>
      <c r="R62" s="8"/>
      <c r="S62" s="8" t="s">
        <v>63</v>
      </c>
      <c r="T62" s="7"/>
      <c r="U62" s="7"/>
      <c r="V62" s="7"/>
    </row>
    <row r="63" spans="1:22" ht="15.75" customHeight="1">
      <c r="B63" s="7"/>
      <c r="C63" s="7"/>
      <c r="D63" s="7"/>
      <c r="E63" s="7"/>
      <c r="F63" s="7"/>
      <c r="G63" s="7"/>
      <c r="H63" s="7"/>
      <c r="I63" s="7"/>
      <c r="J63" s="7"/>
      <c r="K63" s="7"/>
      <c r="L63" s="8"/>
      <c r="M63" s="7"/>
      <c r="N63" s="8"/>
      <c r="O63" s="8"/>
      <c r="P63" s="8"/>
      <c r="Q63" s="8"/>
      <c r="R63" s="8"/>
      <c r="S63" s="8" t="s">
        <v>63</v>
      </c>
      <c r="T63" s="7"/>
      <c r="U63" s="7"/>
      <c r="V63" s="7"/>
    </row>
    <row r="64" spans="1:22" ht="15.75" customHeight="1">
      <c r="B64" s="7"/>
      <c r="C64" s="7"/>
      <c r="D64" s="7"/>
      <c r="E64" s="7"/>
      <c r="F64" s="7"/>
      <c r="G64" s="7"/>
      <c r="H64" s="7"/>
      <c r="I64" s="7"/>
      <c r="J64" s="7"/>
      <c r="K64" s="7"/>
      <c r="L64" s="8"/>
      <c r="M64" s="7"/>
      <c r="N64" s="8"/>
      <c r="O64" s="8"/>
      <c r="P64" s="8"/>
      <c r="Q64" s="8"/>
      <c r="R64" s="8"/>
      <c r="S64" s="8" t="s">
        <v>63</v>
      </c>
      <c r="T64" s="7"/>
      <c r="U64" s="7"/>
      <c r="V64" s="7"/>
    </row>
    <row r="65" spans="2:22" ht="15.75" customHeight="1">
      <c r="B65" s="7"/>
      <c r="C65" s="7"/>
      <c r="D65" s="7"/>
      <c r="E65" s="7"/>
      <c r="F65" s="7"/>
      <c r="G65" s="7"/>
      <c r="H65" s="7"/>
      <c r="I65" s="7"/>
      <c r="J65" s="7"/>
      <c r="K65" s="7"/>
      <c r="L65" s="8"/>
      <c r="M65" s="7"/>
      <c r="N65" s="8"/>
      <c r="O65" s="8"/>
      <c r="P65" s="8"/>
      <c r="Q65" s="8"/>
      <c r="R65" s="8"/>
      <c r="S65" s="8" t="s">
        <v>63</v>
      </c>
      <c r="T65" s="7"/>
      <c r="U65" s="7"/>
      <c r="V65" s="7"/>
    </row>
    <row r="66" spans="2:22" ht="15.75" customHeight="1">
      <c r="B66" s="7"/>
      <c r="C66" s="7"/>
      <c r="D66" s="7"/>
      <c r="E66" s="7"/>
      <c r="F66" s="7"/>
      <c r="G66" s="7"/>
      <c r="H66" s="7"/>
      <c r="I66" s="7"/>
      <c r="J66" s="7"/>
      <c r="K66" s="7"/>
      <c r="L66" s="8"/>
      <c r="M66" s="7"/>
      <c r="N66" s="8"/>
      <c r="O66" s="8"/>
      <c r="P66" s="8"/>
      <c r="Q66" s="8"/>
      <c r="R66" s="8"/>
      <c r="S66" s="8" t="s">
        <v>63</v>
      </c>
      <c r="T66" s="7"/>
      <c r="U66" s="7"/>
      <c r="V66" s="7"/>
    </row>
    <row r="67" spans="2:22" ht="15.75" customHeight="1">
      <c r="B67" s="7"/>
      <c r="C67" s="7"/>
      <c r="D67" s="7"/>
      <c r="E67" s="7"/>
      <c r="F67" s="7"/>
      <c r="G67" s="7"/>
      <c r="H67" s="7"/>
      <c r="I67" s="7"/>
      <c r="J67" s="7"/>
      <c r="K67" s="7"/>
      <c r="L67" s="8"/>
      <c r="M67" s="7"/>
      <c r="N67" s="8"/>
      <c r="O67" s="8"/>
      <c r="P67" s="8"/>
      <c r="Q67" s="8"/>
      <c r="R67" s="8"/>
      <c r="S67" s="8" t="s">
        <v>63</v>
      </c>
      <c r="T67" s="7"/>
      <c r="U67" s="7"/>
      <c r="V67" s="7"/>
    </row>
    <row r="68" spans="2:22" ht="15.75" customHeight="1">
      <c r="B68" s="7"/>
      <c r="C68" s="7"/>
      <c r="D68" s="7"/>
      <c r="E68" s="7"/>
      <c r="F68" s="7"/>
      <c r="G68" s="7"/>
      <c r="H68" s="7"/>
      <c r="I68" s="7"/>
      <c r="J68" s="7"/>
      <c r="K68" s="7"/>
      <c r="L68" s="8"/>
      <c r="M68" s="7"/>
      <c r="N68" s="8"/>
      <c r="O68" s="8"/>
      <c r="P68" s="8"/>
      <c r="Q68" s="8"/>
      <c r="R68" s="8"/>
      <c r="S68" s="8" t="s">
        <v>63</v>
      </c>
      <c r="T68" s="7"/>
      <c r="U68" s="7"/>
      <c r="V68" s="7"/>
    </row>
    <row r="69" spans="2:22" ht="15.75" customHeight="1">
      <c r="B69" s="7"/>
      <c r="C69" s="7"/>
      <c r="D69" s="7"/>
      <c r="E69" s="7"/>
      <c r="F69" s="7"/>
      <c r="G69" s="7"/>
      <c r="H69" s="7"/>
      <c r="I69" s="7"/>
      <c r="J69" s="7"/>
      <c r="K69" s="7"/>
      <c r="L69" s="8"/>
      <c r="M69" s="7"/>
      <c r="N69" s="8"/>
      <c r="O69" s="8"/>
      <c r="P69" s="8"/>
      <c r="Q69" s="8"/>
      <c r="R69" s="8"/>
      <c r="S69" s="8" t="s">
        <v>63</v>
      </c>
      <c r="T69" s="7"/>
      <c r="U69" s="7"/>
      <c r="V69" s="7"/>
    </row>
    <row r="70" spans="2:22" ht="15.75" customHeight="1">
      <c r="B70" s="7"/>
      <c r="C70" s="7"/>
      <c r="D70" s="7"/>
      <c r="E70" s="7"/>
      <c r="F70" s="7"/>
      <c r="G70" s="7"/>
      <c r="H70" s="7"/>
      <c r="I70" s="7"/>
      <c r="J70" s="7"/>
      <c r="K70" s="7"/>
      <c r="L70" s="8"/>
      <c r="M70" s="7"/>
      <c r="N70" s="8"/>
      <c r="O70" s="8"/>
      <c r="P70" s="8"/>
      <c r="Q70" s="8"/>
      <c r="R70" s="8"/>
      <c r="S70" s="8" t="s">
        <v>63</v>
      </c>
      <c r="T70" s="7"/>
      <c r="U70" s="7"/>
      <c r="V70" s="7"/>
    </row>
    <row r="71" spans="2:22" ht="15.75" customHeight="1">
      <c r="B71" s="7"/>
      <c r="C71" s="7"/>
      <c r="D71" s="7"/>
      <c r="E71" s="7"/>
      <c r="F71" s="7"/>
      <c r="G71" s="7"/>
      <c r="H71" s="7"/>
      <c r="I71" s="7"/>
      <c r="J71" s="7"/>
      <c r="K71" s="7"/>
      <c r="L71" s="8"/>
      <c r="M71" s="7"/>
      <c r="N71" s="8"/>
      <c r="O71" s="8"/>
      <c r="P71" s="8"/>
      <c r="Q71" s="8"/>
      <c r="R71" s="8"/>
      <c r="S71" s="8" t="s">
        <v>63</v>
      </c>
      <c r="T71" s="7"/>
      <c r="U71" s="7"/>
      <c r="V71" s="7"/>
    </row>
    <row r="72" spans="2:22" ht="15.75" customHeight="1">
      <c r="B72" s="7"/>
      <c r="C72" s="7"/>
      <c r="D72" s="7"/>
      <c r="E72" s="7"/>
      <c r="F72" s="7"/>
      <c r="G72" s="7"/>
      <c r="H72" s="7"/>
      <c r="I72" s="7"/>
      <c r="J72" s="7"/>
      <c r="K72" s="7"/>
      <c r="L72" s="8"/>
      <c r="M72" s="7"/>
      <c r="N72" s="8"/>
      <c r="O72" s="8"/>
      <c r="P72" s="8"/>
      <c r="Q72" s="8"/>
      <c r="R72" s="8"/>
      <c r="S72" s="8" t="s">
        <v>63</v>
      </c>
      <c r="T72" s="7"/>
      <c r="U72" s="7"/>
      <c r="V72" s="7"/>
    </row>
    <row r="73" spans="2:22" ht="15.75" customHeight="1">
      <c r="B73" s="7"/>
      <c r="C73" s="7"/>
      <c r="D73" s="7"/>
      <c r="E73" s="7"/>
      <c r="F73" s="7"/>
      <c r="G73" s="7"/>
      <c r="H73" s="7"/>
      <c r="I73" s="7"/>
      <c r="J73" s="7"/>
      <c r="K73" s="7"/>
      <c r="L73" s="8"/>
      <c r="M73" s="7"/>
      <c r="N73" s="8"/>
      <c r="O73" s="8"/>
      <c r="P73" s="8"/>
      <c r="Q73" s="8"/>
      <c r="R73" s="8"/>
      <c r="S73" s="8" t="s">
        <v>63</v>
      </c>
      <c r="T73" s="7"/>
      <c r="U73" s="7"/>
      <c r="V73" s="7"/>
    </row>
    <row r="74" spans="2:22" ht="15.75" customHeight="1">
      <c r="B74" s="7"/>
      <c r="C74" s="7"/>
      <c r="D74" s="7"/>
      <c r="E74" s="7"/>
      <c r="F74" s="7"/>
      <c r="G74" s="7"/>
      <c r="H74" s="7"/>
      <c r="I74" s="7"/>
      <c r="J74" s="7"/>
      <c r="K74" s="7"/>
      <c r="L74" s="8"/>
      <c r="M74" s="7"/>
      <c r="N74" s="8"/>
      <c r="O74" s="8"/>
      <c r="P74" s="8"/>
      <c r="Q74" s="8"/>
      <c r="R74" s="8"/>
      <c r="S74" s="8" t="s">
        <v>63</v>
      </c>
      <c r="T74" s="7"/>
      <c r="U74" s="7"/>
      <c r="V74" s="7"/>
    </row>
    <row r="75" spans="2:22" ht="15.75" customHeight="1">
      <c r="B75" s="7"/>
      <c r="C75" s="7"/>
      <c r="D75" s="7"/>
      <c r="E75" s="7"/>
      <c r="F75" s="7"/>
      <c r="G75" s="7"/>
      <c r="H75" s="7"/>
      <c r="I75" s="7"/>
      <c r="J75" s="7"/>
      <c r="K75" s="7"/>
      <c r="L75" s="8"/>
      <c r="M75" s="7"/>
      <c r="N75" s="8"/>
      <c r="O75" s="8"/>
      <c r="P75" s="8"/>
      <c r="Q75" s="8"/>
      <c r="R75" s="8"/>
      <c r="S75" s="8" t="s">
        <v>63</v>
      </c>
      <c r="T75" s="7"/>
      <c r="U75" s="7"/>
      <c r="V75" s="7"/>
    </row>
    <row r="76" spans="2:22" ht="15.75" customHeight="1">
      <c r="B76" s="7"/>
      <c r="C76" s="7"/>
      <c r="D76" s="7"/>
      <c r="E76" s="7"/>
      <c r="F76" s="7"/>
      <c r="G76" s="7"/>
      <c r="H76" s="7"/>
      <c r="I76" s="7"/>
      <c r="J76" s="7"/>
      <c r="K76" s="7"/>
      <c r="L76" s="8"/>
      <c r="M76" s="7"/>
      <c r="N76" s="8"/>
      <c r="O76" s="8"/>
      <c r="P76" s="8"/>
      <c r="Q76" s="8"/>
      <c r="R76" s="8"/>
      <c r="S76" s="8" t="s">
        <v>63</v>
      </c>
      <c r="T76" s="7"/>
      <c r="U76" s="7"/>
      <c r="V76" s="7"/>
    </row>
    <row r="77" spans="2:22" ht="15.75" customHeight="1">
      <c r="B77" s="7"/>
      <c r="C77" s="7"/>
      <c r="D77" s="7"/>
      <c r="E77" s="7"/>
      <c r="F77" s="7"/>
      <c r="G77" s="7"/>
      <c r="H77" s="7"/>
      <c r="I77" s="7"/>
      <c r="J77" s="7"/>
      <c r="K77" s="7"/>
      <c r="L77" s="8"/>
      <c r="M77" s="7"/>
      <c r="N77" s="8"/>
      <c r="O77" s="8"/>
      <c r="P77" s="8"/>
      <c r="Q77" s="8"/>
      <c r="R77" s="8"/>
      <c r="S77" s="8" t="s">
        <v>63</v>
      </c>
      <c r="T77" s="7"/>
      <c r="U77" s="7"/>
      <c r="V77" s="7"/>
    </row>
    <row r="78" spans="2:22" ht="15.75" customHeight="1">
      <c r="B78" s="7"/>
      <c r="C78" s="7"/>
      <c r="D78" s="7"/>
      <c r="E78" s="7"/>
      <c r="F78" s="7"/>
      <c r="G78" s="7"/>
      <c r="H78" s="7"/>
      <c r="I78" s="7"/>
      <c r="J78" s="7"/>
      <c r="K78" s="7"/>
      <c r="L78" s="8"/>
      <c r="M78" s="7"/>
      <c r="N78" s="8"/>
      <c r="O78" s="8"/>
      <c r="P78" s="8"/>
      <c r="Q78" s="8"/>
      <c r="R78" s="8"/>
      <c r="S78" s="8" t="s">
        <v>63</v>
      </c>
      <c r="T78" s="7"/>
      <c r="U78" s="7"/>
      <c r="V78" s="7"/>
    </row>
    <row r="79" spans="2:22" ht="15.75" customHeight="1">
      <c r="B79" s="7"/>
      <c r="C79" s="7"/>
      <c r="D79" s="7"/>
      <c r="E79" s="7"/>
      <c r="F79" s="7"/>
      <c r="G79" s="7"/>
      <c r="H79" s="7"/>
      <c r="I79" s="7"/>
      <c r="J79" s="7"/>
      <c r="K79" s="7"/>
      <c r="L79" s="8"/>
      <c r="M79" s="7"/>
      <c r="N79" s="8"/>
      <c r="O79" s="8"/>
      <c r="P79" s="8"/>
      <c r="Q79" s="8"/>
      <c r="R79" s="8"/>
      <c r="S79" s="8" t="s">
        <v>63</v>
      </c>
      <c r="T79" s="7"/>
      <c r="U79" s="7"/>
      <c r="V79" s="7"/>
    </row>
    <row r="80" spans="2:22" ht="15.75" customHeight="1">
      <c r="B80" s="7"/>
      <c r="C80" s="7"/>
      <c r="D80" s="7"/>
      <c r="E80" s="7"/>
      <c r="F80" s="7"/>
      <c r="G80" s="7"/>
      <c r="H80" s="7"/>
      <c r="I80" s="7"/>
      <c r="J80" s="7"/>
      <c r="K80" s="7"/>
      <c r="L80" s="8"/>
      <c r="M80" s="7"/>
      <c r="N80" s="8"/>
      <c r="O80" s="8"/>
      <c r="P80" s="8"/>
      <c r="Q80" s="8"/>
      <c r="R80" s="8"/>
      <c r="S80" s="8" t="s">
        <v>63</v>
      </c>
      <c r="T80" s="7"/>
      <c r="U80" s="7"/>
      <c r="V80" s="7"/>
    </row>
    <row r="81" spans="2:22" ht="15.75" customHeight="1">
      <c r="B81" s="7"/>
      <c r="C81" s="7"/>
      <c r="D81" s="7"/>
      <c r="E81" s="7"/>
      <c r="F81" s="7"/>
      <c r="G81" s="7"/>
      <c r="H81" s="7"/>
      <c r="I81" s="7"/>
      <c r="J81" s="7"/>
      <c r="K81" s="7"/>
      <c r="L81" s="8"/>
      <c r="M81" s="7"/>
      <c r="N81" s="8"/>
      <c r="O81" s="8"/>
      <c r="P81" s="8"/>
      <c r="Q81" s="8"/>
      <c r="R81" s="8"/>
      <c r="S81" s="8" t="s">
        <v>63</v>
      </c>
      <c r="T81" s="7"/>
      <c r="U81" s="7"/>
      <c r="V81" s="7"/>
    </row>
    <row r="82" spans="2:22" ht="15.75" customHeight="1">
      <c r="B82" s="7"/>
      <c r="C82" s="7"/>
      <c r="D82" s="7"/>
      <c r="E82" s="7"/>
      <c r="F82" s="7"/>
      <c r="G82" s="7"/>
      <c r="H82" s="7"/>
      <c r="I82" s="7"/>
      <c r="J82" s="7"/>
      <c r="K82" s="7"/>
      <c r="L82" s="8"/>
      <c r="M82" s="7"/>
      <c r="N82" s="8"/>
      <c r="O82" s="8"/>
      <c r="P82" s="8"/>
      <c r="Q82" s="8"/>
      <c r="R82" s="8"/>
      <c r="S82" s="8" t="s">
        <v>63</v>
      </c>
      <c r="T82" s="7"/>
      <c r="U82" s="7"/>
      <c r="V82" s="7"/>
    </row>
    <row r="83" spans="2:22" ht="15.75" customHeight="1">
      <c r="B83" s="7"/>
      <c r="C83" s="7"/>
      <c r="D83" s="7"/>
      <c r="E83" s="7"/>
      <c r="F83" s="7"/>
      <c r="G83" s="7"/>
      <c r="H83" s="7"/>
      <c r="I83" s="7"/>
      <c r="J83" s="7"/>
      <c r="K83" s="7"/>
      <c r="L83" s="8"/>
      <c r="M83" s="7"/>
      <c r="N83" s="8"/>
      <c r="O83" s="8"/>
      <c r="P83" s="8"/>
      <c r="Q83" s="8"/>
      <c r="R83" s="8"/>
      <c r="S83" s="8" t="s">
        <v>63</v>
      </c>
      <c r="T83" s="7"/>
      <c r="U83" s="7"/>
      <c r="V83" s="7"/>
    </row>
    <row r="84" spans="2:22" ht="15.7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8"/>
      <c r="M84" s="7"/>
      <c r="N84" s="8"/>
      <c r="O84" s="8"/>
      <c r="P84" s="8"/>
      <c r="Q84" s="8"/>
      <c r="R84" s="8"/>
      <c r="S84" s="8" t="s">
        <v>63</v>
      </c>
      <c r="T84" s="7"/>
      <c r="U84" s="7"/>
      <c r="V84" s="7"/>
    </row>
    <row r="85" spans="2:22" ht="15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8"/>
      <c r="M85" s="7"/>
      <c r="N85" s="8"/>
      <c r="O85" s="8"/>
      <c r="P85" s="8"/>
      <c r="Q85" s="8"/>
      <c r="R85" s="8"/>
      <c r="S85" s="8" t="s">
        <v>63</v>
      </c>
      <c r="T85" s="7"/>
      <c r="U85" s="7"/>
      <c r="V85" s="7"/>
    </row>
    <row r="86" spans="2:22" ht="15.7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8"/>
      <c r="M86" s="7"/>
      <c r="N86" s="8"/>
      <c r="O86" s="8"/>
      <c r="P86" s="8"/>
      <c r="Q86" s="8"/>
      <c r="R86" s="8"/>
      <c r="S86" s="8" t="s">
        <v>63</v>
      </c>
      <c r="T86" s="7"/>
      <c r="U86" s="7"/>
      <c r="V86" s="7"/>
    </row>
    <row r="87" spans="2:22" ht="15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8"/>
      <c r="M87" s="7"/>
      <c r="N87" s="8"/>
      <c r="O87" s="8"/>
      <c r="P87" s="8"/>
      <c r="Q87" s="8"/>
      <c r="R87" s="8"/>
      <c r="S87" s="8" t="s">
        <v>63</v>
      </c>
      <c r="T87" s="7"/>
      <c r="U87" s="7"/>
      <c r="V87" s="7"/>
    </row>
    <row r="88" spans="2:22" ht="15.7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8"/>
      <c r="M88" s="7"/>
      <c r="N88" s="8"/>
      <c r="O88" s="8"/>
      <c r="P88" s="8"/>
      <c r="Q88" s="8"/>
      <c r="R88" s="8"/>
      <c r="S88" s="8" t="s">
        <v>63</v>
      </c>
      <c r="T88" s="7"/>
      <c r="U88" s="7"/>
      <c r="V88" s="7"/>
    </row>
    <row r="89" spans="2:22" ht="15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8"/>
      <c r="M89" s="7"/>
      <c r="N89" s="8"/>
      <c r="O89" s="8"/>
      <c r="P89" s="8"/>
      <c r="Q89" s="8"/>
      <c r="R89" s="8"/>
      <c r="S89" s="8" t="s">
        <v>63</v>
      </c>
      <c r="T89" s="7"/>
      <c r="U89" s="7"/>
      <c r="V89" s="7"/>
    </row>
    <row r="90" spans="2:22" ht="15.7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8"/>
      <c r="M90" s="7"/>
      <c r="N90" s="8"/>
      <c r="O90" s="8"/>
      <c r="P90" s="8"/>
      <c r="Q90" s="8"/>
      <c r="R90" s="8"/>
      <c r="S90" s="8" t="s">
        <v>63</v>
      </c>
      <c r="T90" s="7"/>
      <c r="U90" s="7"/>
      <c r="V90" s="7"/>
    </row>
    <row r="91" spans="2:22" ht="15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8"/>
      <c r="M91" s="7"/>
      <c r="N91" s="8"/>
      <c r="O91" s="8"/>
      <c r="P91" s="8"/>
      <c r="Q91" s="8"/>
      <c r="R91" s="8"/>
      <c r="S91" s="8" t="s">
        <v>63</v>
      </c>
      <c r="T91" s="7"/>
      <c r="U91" s="7"/>
      <c r="V91" s="7"/>
    </row>
    <row r="92" spans="2:22" ht="15.7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8"/>
      <c r="M92" s="7"/>
      <c r="N92" s="8"/>
      <c r="O92" s="8"/>
      <c r="P92" s="8"/>
      <c r="Q92" s="8"/>
      <c r="R92" s="8"/>
      <c r="S92" s="8" t="s">
        <v>63</v>
      </c>
      <c r="T92" s="7"/>
      <c r="U92" s="7"/>
      <c r="V92" s="7"/>
    </row>
    <row r="93" spans="2:22" ht="15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8"/>
      <c r="M93" s="7"/>
      <c r="N93" s="8"/>
      <c r="O93" s="8"/>
      <c r="P93" s="8"/>
      <c r="Q93" s="8"/>
      <c r="R93" s="8"/>
      <c r="S93" s="8" t="s">
        <v>63</v>
      </c>
      <c r="T93" s="7"/>
      <c r="U93" s="7"/>
      <c r="V93" s="7"/>
    </row>
    <row r="94" spans="2:22" ht="15.7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8"/>
      <c r="M94" s="7"/>
      <c r="N94" s="8"/>
      <c r="O94" s="8"/>
      <c r="P94" s="8"/>
      <c r="Q94" s="8"/>
      <c r="R94" s="8"/>
      <c r="S94" s="8" t="s">
        <v>63</v>
      </c>
      <c r="T94" s="7"/>
      <c r="U94" s="7"/>
      <c r="V94" s="7"/>
    </row>
    <row r="95" spans="2:22" ht="15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8"/>
      <c r="M95" s="7"/>
      <c r="N95" s="8"/>
      <c r="O95" s="8"/>
      <c r="P95" s="8"/>
      <c r="Q95" s="8"/>
      <c r="R95" s="8"/>
      <c r="S95" s="8" t="s">
        <v>63</v>
      </c>
      <c r="T95" s="7"/>
      <c r="U95" s="7"/>
      <c r="V95" s="7"/>
    </row>
    <row r="96" spans="2:22" ht="15.7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8"/>
      <c r="M96" s="7"/>
      <c r="N96" s="8"/>
      <c r="O96" s="8"/>
      <c r="P96" s="8"/>
      <c r="Q96" s="8"/>
      <c r="R96" s="8"/>
      <c r="S96" s="8" t="s">
        <v>63</v>
      </c>
      <c r="T96" s="7"/>
      <c r="U96" s="7"/>
      <c r="V96" s="7"/>
    </row>
    <row r="97" spans="2:22" ht="15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8"/>
      <c r="M97" s="7"/>
      <c r="N97" s="8"/>
      <c r="O97" s="8"/>
      <c r="P97" s="8"/>
      <c r="Q97" s="8"/>
      <c r="R97" s="8"/>
      <c r="S97" s="8" t="s">
        <v>63</v>
      </c>
      <c r="T97" s="7"/>
      <c r="U97" s="7"/>
      <c r="V97" s="7"/>
    </row>
    <row r="98" spans="2:22" ht="15.7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8"/>
      <c r="M98" s="7"/>
      <c r="N98" s="8"/>
      <c r="O98" s="8"/>
      <c r="P98" s="8"/>
      <c r="Q98" s="8"/>
      <c r="R98" s="8"/>
      <c r="S98" s="8" t="s">
        <v>63</v>
      </c>
      <c r="T98" s="7"/>
      <c r="U98" s="7"/>
      <c r="V98" s="7"/>
    </row>
    <row r="99" spans="2:22" ht="15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8"/>
      <c r="M99" s="7"/>
      <c r="N99" s="8"/>
      <c r="O99" s="8"/>
      <c r="P99" s="8"/>
      <c r="Q99" s="8"/>
      <c r="R99" s="8"/>
      <c r="S99" s="8" t="s">
        <v>63</v>
      </c>
      <c r="T99" s="7"/>
      <c r="U99" s="7"/>
      <c r="V99" s="7"/>
    </row>
    <row r="100" spans="2:22" ht="15.7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8"/>
      <c r="M100" s="7"/>
      <c r="N100" s="8"/>
      <c r="O100" s="8"/>
      <c r="P100" s="8"/>
      <c r="Q100" s="8"/>
      <c r="R100" s="8"/>
      <c r="S100" s="8" t="s">
        <v>63</v>
      </c>
      <c r="T100" s="7"/>
      <c r="U100" s="7"/>
      <c r="V100" s="7"/>
    </row>
    <row r="101" spans="2:22" ht="15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8"/>
      <c r="M101" s="7"/>
      <c r="N101" s="8"/>
      <c r="O101" s="8"/>
      <c r="P101" s="8"/>
      <c r="Q101" s="8"/>
      <c r="R101" s="8"/>
      <c r="S101" s="8" t="s">
        <v>63</v>
      </c>
      <c r="T101" s="7"/>
      <c r="U101" s="7"/>
      <c r="V101" s="7"/>
    </row>
    <row r="102" spans="2:22" ht="15.7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8"/>
      <c r="M102" s="7"/>
      <c r="N102" s="8"/>
      <c r="O102" s="8"/>
      <c r="P102" s="8"/>
      <c r="Q102" s="8"/>
      <c r="R102" s="8"/>
      <c r="S102" s="8" t="s">
        <v>63</v>
      </c>
      <c r="T102" s="7"/>
      <c r="U102" s="7"/>
      <c r="V102" s="7"/>
    </row>
    <row r="103" spans="2:22" ht="15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8"/>
      <c r="M103" s="7"/>
      <c r="N103" s="8"/>
      <c r="O103" s="8"/>
      <c r="P103" s="8"/>
      <c r="Q103" s="8"/>
      <c r="R103" s="8"/>
      <c r="S103" s="8" t="s">
        <v>63</v>
      </c>
      <c r="T103" s="7"/>
      <c r="U103" s="7"/>
      <c r="V103" s="7"/>
    </row>
    <row r="104" spans="2:22" ht="15.7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8"/>
      <c r="M104" s="7"/>
      <c r="N104" s="8"/>
      <c r="O104" s="8"/>
      <c r="P104" s="8"/>
      <c r="Q104" s="8"/>
      <c r="R104" s="8"/>
      <c r="S104" s="8" t="s">
        <v>63</v>
      </c>
      <c r="T104" s="7"/>
      <c r="U104" s="7"/>
      <c r="V104" s="7"/>
    </row>
    <row r="105" spans="2:22" ht="15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8"/>
      <c r="M105" s="7"/>
      <c r="N105" s="8"/>
      <c r="O105" s="8"/>
      <c r="P105" s="8"/>
      <c r="Q105" s="8"/>
      <c r="R105" s="8"/>
      <c r="S105" s="8" t="s">
        <v>63</v>
      </c>
      <c r="T105" s="7"/>
      <c r="U105" s="7"/>
      <c r="V105" s="7"/>
    </row>
    <row r="106" spans="2:22" ht="15.7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8"/>
      <c r="M106" s="7"/>
      <c r="N106" s="8"/>
      <c r="O106" s="8"/>
      <c r="P106" s="8"/>
      <c r="Q106" s="8"/>
      <c r="R106" s="8"/>
      <c r="S106" s="8" t="s">
        <v>63</v>
      </c>
      <c r="T106" s="7"/>
      <c r="U106" s="7"/>
      <c r="V106" s="7"/>
    </row>
    <row r="107" spans="2:22" ht="15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8"/>
      <c r="M107" s="7"/>
      <c r="N107" s="8"/>
      <c r="O107" s="8"/>
      <c r="P107" s="8"/>
      <c r="Q107" s="8"/>
      <c r="R107" s="8"/>
      <c r="S107" s="8" t="s">
        <v>63</v>
      </c>
      <c r="T107" s="7"/>
      <c r="U107" s="7"/>
      <c r="V107" s="7"/>
    </row>
    <row r="108" spans="2:22" ht="15.7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8"/>
      <c r="M108" s="7"/>
      <c r="N108" s="8"/>
      <c r="O108" s="8"/>
      <c r="P108" s="8"/>
      <c r="Q108" s="8"/>
      <c r="R108" s="8"/>
      <c r="S108" s="8" t="s">
        <v>63</v>
      </c>
      <c r="T108" s="7"/>
      <c r="U108" s="7"/>
      <c r="V108" s="7"/>
    </row>
    <row r="109" spans="2:22" ht="15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8"/>
      <c r="M109" s="7"/>
      <c r="N109" s="8"/>
      <c r="O109" s="8"/>
      <c r="P109" s="8"/>
      <c r="Q109" s="8"/>
      <c r="R109" s="8"/>
      <c r="S109" s="8" t="s">
        <v>63</v>
      </c>
      <c r="T109" s="7"/>
      <c r="U109" s="7"/>
      <c r="V109" s="7"/>
    </row>
    <row r="110" spans="2:22" ht="15.7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8"/>
      <c r="M110" s="7"/>
      <c r="N110" s="8"/>
      <c r="O110" s="8"/>
      <c r="P110" s="8"/>
      <c r="Q110" s="8"/>
      <c r="R110" s="8"/>
      <c r="S110" s="8" t="s">
        <v>63</v>
      </c>
      <c r="T110" s="7"/>
      <c r="U110" s="7"/>
      <c r="V110" s="7"/>
    </row>
    <row r="111" spans="2:22" ht="15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8"/>
      <c r="M111" s="7"/>
      <c r="N111" s="8"/>
      <c r="O111" s="8"/>
      <c r="P111" s="8"/>
      <c r="Q111" s="8"/>
      <c r="R111" s="8"/>
      <c r="S111" s="8" t="s">
        <v>63</v>
      </c>
      <c r="T111" s="7"/>
      <c r="U111" s="7"/>
      <c r="V111" s="7"/>
    </row>
    <row r="112" spans="2:22" ht="15.75" customHeight="1"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8"/>
      <c r="M112" s="7"/>
      <c r="N112" s="8"/>
      <c r="O112" s="8"/>
      <c r="P112" s="8"/>
      <c r="Q112" s="8"/>
      <c r="R112" s="8"/>
      <c r="S112" s="8" t="s">
        <v>63</v>
      </c>
      <c r="T112" s="7"/>
      <c r="U112" s="7"/>
      <c r="V112" s="7"/>
    </row>
    <row r="113" spans="2:22" ht="15.75" customHeight="1"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8"/>
      <c r="M113" s="7"/>
      <c r="N113" s="8"/>
      <c r="O113" s="8"/>
      <c r="P113" s="8"/>
      <c r="Q113" s="8"/>
      <c r="R113" s="8"/>
      <c r="S113" s="8" t="s">
        <v>63</v>
      </c>
      <c r="T113" s="7"/>
      <c r="U113" s="7"/>
      <c r="V113" s="7"/>
    </row>
    <row r="114" spans="2:22" ht="15.75" customHeight="1"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8"/>
      <c r="M114" s="7"/>
      <c r="N114" s="8"/>
      <c r="O114" s="8"/>
      <c r="P114" s="8"/>
      <c r="Q114" s="8"/>
      <c r="R114" s="8"/>
      <c r="S114" s="8" t="s">
        <v>63</v>
      </c>
      <c r="T114" s="7"/>
      <c r="U114" s="7"/>
      <c r="V114" s="7"/>
    </row>
    <row r="115" spans="2:22" ht="15.75" customHeight="1"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8"/>
      <c r="M115" s="7"/>
      <c r="N115" s="8"/>
      <c r="O115" s="8"/>
      <c r="P115" s="8"/>
      <c r="Q115" s="8"/>
      <c r="R115" s="8"/>
      <c r="S115" s="8" t="s">
        <v>63</v>
      </c>
      <c r="T115" s="7"/>
      <c r="U115" s="7"/>
      <c r="V115" s="7"/>
    </row>
    <row r="116" spans="2:22" ht="15.75" customHeight="1"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8"/>
      <c r="M116" s="7"/>
      <c r="N116" s="8"/>
      <c r="O116" s="8"/>
      <c r="P116" s="8"/>
      <c r="Q116" s="8"/>
      <c r="R116" s="8"/>
      <c r="S116" s="8" t="s">
        <v>63</v>
      </c>
      <c r="T116" s="7"/>
      <c r="U116" s="7"/>
      <c r="V116" s="7"/>
    </row>
    <row r="117" spans="2:22" ht="15.75" customHeight="1"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8"/>
      <c r="M117" s="7"/>
      <c r="N117" s="8"/>
      <c r="O117" s="8"/>
      <c r="P117" s="8"/>
      <c r="Q117" s="8"/>
      <c r="R117" s="8"/>
      <c r="S117" s="8" t="s">
        <v>63</v>
      </c>
      <c r="T117" s="7"/>
      <c r="U117" s="7"/>
      <c r="V117" s="7"/>
    </row>
    <row r="118" spans="2:22" ht="15.75" customHeight="1"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8"/>
      <c r="M118" s="7"/>
      <c r="N118" s="8"/>
      <c r="O118" s="8"/>
      <c r="P118" s="8"/>
      <c r="Q118" s="8"/>
      <c r="R118" s="8"/>
      <c r="S118" s="8" t="s">
        <v>63</v>
      </c>
      <c r="T118" s="7"/>
      <c r="U118" s="7"/>
      <c r="V118" s="7"/>
    </row>
    <row r="119" spans="2:22" ht="15.75" customHeight="1"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8"/>
      <c r="M119" s="7"/>
      <c r="N119" s="8"/>
      <c r="O119" s="8"/>
      <c r="P119" s="8"/>
      <c r="Q119" s="8"/>
      <c r="R119" s="8"/>
      <c r="S119" s="8" t="s">
        <v>63</v>
      </c>
      <c r="T119" s="7"/>
      <c r="U119" s="7"/>
      <c r="V119" s="7"/>
    </row>
    <row r="120" spans="2:22" ht="15.75" customHeight="1"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8"/>
      <c r="M120" s="7"/>
      <c r="N120" s="8"/>
      <c r="O120" s="8"/>
      <c r="P120" s="8"/>
      <c r="Q120" s="8"/>
      <c r="R120" s="8"/>
      <c r="S120" s="8" t="s">
        <v>63</v>
      </c>
      <c r="T120" s="7"/>
      <c r="U120" s="7"/>
      <c r="V120" s="7"/>
    </row>
    <row r="121" spans="2:22" ht="15.75" customHeight="1"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8"/>
      <c r="M121" s="7"/>
      <c r="N121" s="8"/>
      <c r="O121" s="8"/>
      <c r="P121" s="8"/>
      <c r="Q121" s="8"/>
      <c r="R121" s="8"/>
      <c r="S121" s="8" t="s">
        <v>63</v>
      </c>
      <c r="T121" s="7"/>
      <c r="U121" s="7"/>
      <c r="V121" s="7"/>
    </row>
    <row r="122" spans="2:22" ht="15.75" customHeight="1"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8"/>
      <c r="M122" s="7"/>
      <c r="N122" s="8"/>
      <c r="O122" s="8"/>
      <c r="P122" s="8"/>
      <c r="Q122" s="8"/>
      <c r="R122" s="8"/>
      <c r="S122" s="8" t="s">
        <v>63</v>
      </c>
      <c r="T122" s="7"/>
      <c r="U122" s="7"/>
      <c r="V122" s="7"/>
    </row>
    <row r="123" spans="2:22" ht="15.75" customHeight="1"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8"/>
      <c r="M123" s="7"/>
      <c r="N123" s="8"/>
      <c r="O123" s="8"/>
      <c r="P123" s="8"/>
      <c r="Q123" s="8"/>
      <c r="R123" s="8"/>
      <c r="S123" s="8" t="s">
        <v>63</v>
      </c>
      <c r="T123" s="7"/>
      <c r="U123" s="7"/>
      <c r="V123" s="7"/>
    </row>
    <row r="124" spans="2:22" ht="15.75" customHeight="1"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8"/>
      <c r="M124" s="7"/>
      <c r="N124" s="8"/>
      <c r="O124" s="8"/>
      <c r="P124" s="8"/>
      <c r="Q124" s="8"/>
      <c r="R124" s="8"/>
      <c r="S124" s="8" t="s">
        <v>63</v>
      </c>
      <c r="T124" s="7"/>
      <c r="U124" s="7"/>
      <c r="V124" s="7"/>
    </row>
    <row r="125" spans="2:22" ht="15.75" customHeight="1"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8"/>
      <c r="M125" s="7"/>
      <c r="N125" s="8"/>
      <c r="O125" s="8"/>
      <c r="P125" s="8"/>
      <c r="Q125" s="8"/>
      <c r="R125" s="8"/>
      <c r="S125" s="8" t="s">
        <v>63</v>
      </c>
      <c r="T125" s="7"/>
      <c r="U125" s="7"/>
      <c r="V125" s="7"/>
    </row>
    <row r="126" spans="2:22" ht="15.75" customHeight="1"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8"/>
      <c r="M126" s="7"/>
      <c r="N126" s="8"/>
      <c r="O126" s="8"/>
      <c r="P126" s="8"/>
      <c r="Q126" s="8"/>
      <c r="R126" s="8"/>
      <c r="S126" s="8" t="s">
        <v>63</v>
      </c>
      <c r="T126" s="7"/>
      <c r="U126" s="7"/>
      <c r="V126" s="7"/>
    </row>
    <row r="127" spans="2:22" ht="15.75" customHeight="1"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8"/>
      <c r="M127" s="7"/>
      <c r="N127" s="8"/>
      <c r="O127" s="8"/>
      <c r="P127" s="8"/>
      <c r="Q127" s="8"/>
      <c r="R127" s="8"/>
      <c r="S127" s="8" t="s">
        <v>63</v>
      </c>
      <c r="T127" s="7"/>
      <c r="U127" s="7"/>
      <c r="V127" s="7"/>
    </row>
    <row r="128" spans="2:22" ht="15.75" customHeight="1"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8"/>
      <c r="M128" s="7"/>
      <c r="N128" s="8"/>
      <c r="O128" s="8"/>
      <c r="P128" s="8"/>
      <c r="Q128" s="8"/>
      <c r="R128" s="8"/>
      <c r="S128" s="8" t="s">
        <v>63</v>
      </c>
      <c r="T128" s="7"/>
      <c r="U128" s="7"/>
      <c r="V128" s="7"/>
    </row>
    <row r="129" spans="2:22" ht="15.75" customHeight="1"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8"/>
      <c r="M129" s="7"/>
      <c r="N129" s="8"/>
      <c r="O129" s="8"/>
      <c r="P129" s="8"/>
      <c r="Q129" s="8"/>
      <c r="R129" s="8"/>
      <c r="S129" s="8" t="s">
        <v>63</v>
      </c>
      <c r="T129" s="7"/>
      <c r="U129" s="7"/>
      <c r="V129" s="7"/>
    </row>
    <row r="130" spans="2:22" ht="15.75" customHeight="1"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8"/>
      <c r="M130" s="7"/>
      <c r="N130" s="8"/>
      <c r="O130" s="8"/>
      <c r="P130" s="8"/>
      <c r="Q130" s="8"/>
      <c r="R130" s="8"/>
      <c r="S130" s="8" t="s">
        <v>63</v>
      </c>
      <c r="T130" s="7"/>
      <c r="U130" s="7"/>
      <c r="V130" s="7"/>
    </row>
    <row r="131" spans="2:22" ht="15.75" customHeight="1"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8"/>
      <c r="M131" s="7"/>
      <c r="N131" s="8"/>
      <c r="O131" s="8"/>
      <c r="P131" s="8"/>
      <c r="Q131" s="8"/>
      <c r="R131" s="8"/>
      <c r="S131" s="8" t="s">
        <v>63</v>
      </c>
      <c r="T131" s="7"/>
      <c r="U131" s="7"/>
      <c r="V131" s="7"/>
    </row>
    <row r="132" spans="2:22" ht="15.75" customHeight="1"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8"/>
      <c r="M132" s="7"/>
      <c r="N132" s="8"/>
      <c r="O132" s="8"/>
      <c r="P132" s="8"/>
      <c r="Q132" s="8"/>
      <c r="R132" s="8"/>
      <c r="S132" s="8" t="s">
        <v>63</v>
      </c>
      <c r="T132" s="7"/>
      <c r="U132" s="7"/>
      <c r="V132" s="7"/>
    </row>
    <row r="133" spans="2:22" ht="15.75" customHeight="1"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8"/>
      <c r="M133" s="7"/>
      <c r="N133" s="8"/>
      <c r="O133" s="8"/>
      <c r="P133" s="8"/>
      <c r="Q133" s="8"/>
      <c r="R133" s="8"/>
      <c r="S133" s="8" t="s">
        <v>63</v>
      </c>
      <c r="T133" s="7"/>
      <c r="U133" s="7"/>
      <c r="V133" s="7"/>
    </row>
    <row r="134" spans="2:22" ht="15.75" customHeight="1"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8"/>
      <c r="M134" s="7"/>
      <c r="N134" s="8"/>
      <c r="O134" s="8"/>
      <c r="P134" s="8"/>
      <c r="Q134" s="8"/>
      <c r="R134" s="8"/>
      <c r="S134" s="8" t="s">
        <v>63</v>
      </c>
      <c r="T134" s="7"/>
      <c r="U134" s="7"/>
      <c r="V134" s="7"/>
    </row>
    <row r="135" spans="2:22" ht="15.75" customHeight="1"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8"/>
      <c r="M135" s="7"/>
      <c r="N135" s="8"/>
      <c r="O135" s="8"/>
      <c r="P135" s="8"/>
      <c r="Q135" s="8"/>
      <c r="R135" s="8"/>
      <c r="S135" s="8" t="s">
        <v>63</v>
      </c>
      <c r="T135" s="7"/>
      <c r="U135" s="7"/>
      <c r="V135" s="7"/>
    </row>
    <row r="136" spans="2:22" ht="15.75" customHeight="1"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8"/>
      <c r="M136" s="7"/>
      <c r="N136" s="8"/>
      <c r="O136" s="8"/>
      <c r="P136" s="8"/>
      <c r="Q136" s="8"/>
      <c r="R136" s="8"/>
      <c r="S136" s="8" t="s">
        <v>63</v>
      </c>
      <c r="T136" s="7"/>
      <c r="U136" s="7"/>
      <c r="V136" s="7"/>
    </row>
    <row r="137" spans="2:22" ht="15.75" customHeight="1"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8"/>
      <c r="M137" s="7"/>
      <c r="N137" s="8"/>
      <c r="O137" s="8"/>
      <c r="P137" s="8"/>
      <c r="Q137" s="8"/>
      <c r="R137" s="8"/>
      <c r="S137" s="8" t="s">
        <v>63</v>
      </c>
      <c r="T137" s="7"/>
      <c r="U137" s="7"/>
      <c r="V137" s="7"/>
    </row>
    <row r="138" spans="2:22" ht="15.75" customHeight="1"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8"/>
      <c r="M138" s="7"/>
      <c r="N138" s="8"/>
      <c r="O138" s="8"/>
      <c r="P138" s="8"/>
      <c r="Q138" s="8"/>
      <c r="R138" s="8"/>
      <c r="S138" s="8" t="s">
        <v>63</v>
      </c>
      <c r="T138" s="7"/>
      <c r="U138" s="7"/>
      <c r="V138" s="7"/>
    </row>
    <row r="139" spans="2:22" ht="15.75" customHeight="1"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8"/>
      <c r="M139" s="7"/>
      <c r="N139" s="8"/>
      <c r="O139" s="8"/>
      <c r="P139" s="8"/>
      <c r="Q139" s="8"/>
      <c r="R139" s="8"/>
      <c r="S139" s="8" t="s">
        <v>63</v>
      </c>
      <c r="T139" s="7"/>
      <c r="U139" s="7"/>
      <c r="V139" s="7"/>
    </row>
    <row r="140" spans="2:22" ht="15.75" customHeight="1"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8"/>
      <c r="M140" s="7"/>
      <c r="N140" s="8"/>
      <c r="O140" s="8"/>
      <c r="P140" s="8"/>
      <c r="Q140" s="8"/>
      <c r="R140" s="8"/>
      <c r="S140" s="8" t="s">
        <v>63</v>
      </c>
      <c r="T140" s="7"/>
      <c r="U140" s="7"/>
      <c r="V140" s="7"/>
    </row>
    <row r="141" spans="2:22" ht="15.75" customHeight="1"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8"/>
      <c r="M141" s="7"/>
      <c r="N141" s="8"/>
      <c r="O141" s="8"/>
      <c r="P141" s="8"/>
      <c r="Q141" s="8"/>
      <c r="R141" s="8"/>
      <c r="S141" s="8" t="s">
        <v>63</v>
      </c>
      <c r="T141" s="7"/>
      <c r="U141" s="7"/>
      <c r="V141" s="7"/>
    </row>
    <row r="142" spans="2:22" ht="15.75" customHeight="1"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8"/>
      <c r="M142" s="7"/>
      <c r="N142" s="8"/>
      <c r="O142" s="8"/>
      <c r="P142" s="8"/>
      <c r="Q142" s="8"/>
      <c r="R142" s="8"/>
      <c r="S142" s="8" t="s">
        <v>63</v>
      </c>
      <c r="T142" s="7"/>
      <c r="U142" s="7"/>
      <c r="V142" s="7"/>
    </row>
    <row r="143" spans="2:22" ht="15.75" customHeight="1"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8"/>
      <c r="M143" s="7"/>
      <c r="N143" s="8"/>
      <c r="O143" s="8"/>
      <c r="P143" s="8"/>
      <c r="Q143" s="8"/>
      <c r="R143" s="8"/>
      <c r="S143" s="8" t="s">
        <v>63</v>
      </c>
      <c r="T143" s="7"/>
      <c r="U143" s="7"/>
      <c r="V143" s="7"/>
    </row>
    <row r="144" spans="2:22" ht="15.75" customHeight="1"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8"/>
      <c r="M144" s="7"/>
      <c r="N144" s="8"/>
      <c r="O144" s="8"/>
      <c r="P144" s="8"/>
      <c r="Q144" s="8"/>
      <c r="R144" s="8"/>
      <c r="S144" s="8" t="s">
        <v>63</v>
      </c>
      <c r="T144" s="7"/>
      <c r="U144" s="7"/>
      <c r="V144" s="7"/>
    </row>
    <row r="145" spans="2:22" ht="15.75" customHeight="1"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8"/>
      <c r="M145" s="7"/>
      <c r="N145" s="8"/>
      <c r="O145" s="8"/>
      <c r="P145" s="8"/>
      <c r="Q145" s="8"/>
      <c r="R145" s="8"/>
      <c r="S145" s="8" t="s">
        <v>63</v>
      </c>
      <c r="T145" s="7"/>
      <c r="U145" s="7"/>
      <c r="V145" s="7"/>
    </row>
    <row r="146" spans="2:22" ht="15.75" customHeight="1"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8"/>
      <c r="M146" s="7"/>
      <c r="N146" s="8"/>
      <c r="O146" s="8"/>
      <c r="P146" s="8"/>
      <c r="Q146" s="8"/>
      <c r="R146" s="8"/>
      <c r="S146" s="8" t="s">
        <v>63</v>
      </c>
      <c r="T146" s="7"/>
      <c r="U146" s="7"/>
      <c r="V146" s="7"/>
    </row>
    <row r="147" spans="2:22" ht="15.75" customHeight="1"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8"/>
      <c r="M147" s="7"/>
      <c r="N147" s="8"/>
      <c r="O147" s="8"/>
      <c r="P147" s="8"/>
      <c r="Q147" s="8"/>
      <c r="R147" s="8"/>
      <c r="S147" s="8" t="s">
        <v>63</v>
      </c>
      <c r="T147" s="7"/>
      <c r="U147" s="7"/>
      <c r="V147" s="7"/>
    </row>
    <row r="148" spans="2:22" ht="15.75" customHeight="1"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8"/>
      <c r="M148" s="7"/>
      <c r="N148" s="8"/>
      <c r="O148" s="8"/>
      <c r="P148" s="8"/>
      <c r="Q148" s="8"/>
      <c r="R148" s="8"/>
      <c r="S148" s="8" t="s">
        <v>63</v>
      </c>
      <c r="T148" s="7"/>
      <c r="U148" s="7"/>
      <c r="V148" s="7"/>
    </row>
    <row r="149" spans="2:22" ht="15.75" customHeight="1"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8"/>
      <c r="M149" s="7"/>
      <c r="N149" s="8"/>
      <c r="O149" s="8"/>
      <c r="P149" s="8"/>
      <c r="Q149" s="8"/>
      <c r="R149" s="8"/>
      <c r="S149" s="8" t="s">
        <v>63</v>
      </c>
      <c r="T149" s="7"/>
      <c r="U149" s="7"/>
      <c r="V149" s="7"/>
    </row>
    <row r="150" spans="2:22" ht="15.75" customHeight="1"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8"/>
      <c r="M150" s="7"/>
      <c r="N150" s="8"/>
      <c r="O150" s="8"/>
      <c r="P150" s="8"/>
      <c r="Q150" s="8"/>
      <c r="R150" s="8"/>
      <c r="S150" s="8" t="s">
        <v>63</v>
      </c>
      <c r="T150" s="7"/>
      <c r="U150" s="7"/>
      <c r="V150" s="7"/>
    </row>
    <row r="151" spans="2:22" ht="15.75" customHeight="1"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8"/>
      <c r="M151" s="7"/>
      <c r="N151" s="8"/>
      <c r="O151" s="8"/>
      <c r="P151" s="8"/>
      <c r="Q151" s="8"/>
      <c r="R151" s="8"/>
      <c r="S151" s="8" t="s">
        <v>63</v>
      </c>
      <c r="T151" s="7"/>
      <c r="U151" s="7"/>
      <c r="V151" s="7"/>
    </row>
    <row r="152" spans="2:22" ht="15.75" customHeight="1"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8"/>
      <c r="M152" s="7"/>
      <c r="N152" s="8"/>
      <c r="O152" s="8"/>
      <c r="P152" s="8"/>
      <c r="Q152" s="8"/>
      <c r="R152" s="8"/>
      <c r="S152" s="8" t="s">
        <v>63</v>
      </c>
      <c r="T152" s="7"/>
      <c r="U152" s="7"/>
      <c r="V152" s="7"/>
    </row>
    <row r="153" spans="2:22" ht="15.75" customHeight="1"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8"/>
      <c r="M153" s="7"/>
      <c r="N153" s="8"/>
      <c r="O153" s="8"/>
      <c r="P153" s="8"/>
      <c r="Q153" s="8"/>
      <c r="R153" s="8"/>
      <c r="S153" s="8" t="s">
        <v>63</v>
      </c>
      <c r="T153" s="7"/>
      <c r="U153" s="7"/>
      <c r="V153" s="7"/>
    </row>
    <row r="154" spans="2:22" ht="15.75" customHeight="1"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8"/>
      <c r="M154" s="7"/>
      <c r="N154" s="8"/>
      <c r="O154" s="8"/>
      <c r="P154" s="8"/>
      <c r="Q154" s="8"/>
      <c r="R154" s="8"/>
      <c r="S154" s="8" t="s">
        <v>63</v>
      </c>
      <c r="T154" s="7"/>
      <c r="U154" s="7"/>
      <c r="V154" s="7"/>
    </row>
    <row r="155" spans="2:22" ht="15.75" customHeight="1"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8"/>
      <c r="M155" s="7"/>
      <c r="N155" s="8"/>
      <c r="O155" s="8"/>
      <c r="P155" s="8"/>
      <c r="Q155" s="8"/>
      <c r="R155" s="8"/>
      <c r="S155" s="8" t="s">
        <v>63</v>
      </c>
      <c r="T155" s="7"/>
      <c r="U155" s="7"/>
      <c r="V155" s="7"/>
    </row>
    <row r="156" spans="2:22" ht="15.75" customHeight="1"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8"/>
      <c r="M156" s="7"/>
      <c r="N156" s="8"/>
      <c r="O156" s="8"/>
      <c r="P156" s="8"/>
      <c r="Q156" s="8"/>
      <c r="R156" s="8"/>
      <c r="S156" s="8" t="s">
        <v>63</v>
      </c>
      <c r="T156" s="7"/>
      <c r="U156" s="7"/>
      <c r="V156" s="7"/>
    </row>
    <row r="157" spans="2:22" ht="15.75" customHeight="1"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8"/>
      <c r="M157" s="7"/>
      <c r="N157" s="8"/>
      <c r="O157" s="8"/>
      <c r="P157" s="8"/>
      <c r="Q157" s="8"/>
      <c r="R157" s="8"/>
      <c r="S157" s="8" t="s">
        <v>63</v>
      </c>
      <c r="T157" s="7"/>
      <c r="U157" s="7"/>
      <c r="V157" s="7"/>
    </row>
    <row r="158" spans="2:22" ht="15.75" customHeight="1"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8"/>
      <c r="M158" s="7"/>
      <c r="N158" s="8"/>
      <c r="O158" s="8"/>
      <c r="P158" s="8"/>
      <c r="Q158" s="8"/>
      <c r="R158" s="8"/>
      <c r="S158" s="8" t="s">
        <v>63</v>
      </c>
      <c r="T158" s="7"/>
      <c r="U158" s="7"/>
      <c r="V158" s="7"/>
    </row>
    <row r="159" spans="2:22" ht="15.75" customHeight="1"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8"/>
      <c r="M159" s="7"/>
      <c r="N159" s="8"/>
      <c r="O159" s="8"/>
      <c r="P159" s="8"/>
      <c r="Q159" s="8"/>
      <c r="R159" s="8"/>
      <c r="S159" s="8" t="s">
        <v>63</v>
      </c>
      <c r="T159" s="7"/>
      <c r="U159" s="7"/>
      <c r="V159" s="7"/>
    </row>
    <row r="160" spans="2:22" ht="15.75" customHeight="1"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8"/>
      <c r="M160" s="7"/>
      <c r="N160" s="8"/>
      <c r="O160" s="8"/>
      <c r="P160" s="8"/>
      <c r="Q160" s="8"/>
      <c r="R160" s="8"/>
      <c r="S160" s="8" t="s">
        <v>63</v>
      </c>
      <c r="T160" s="7"/>
      <c r="U160" s="7"/>
      <c r="V160" s="7"/>
    </row>
    <row r="161" spans="2:22" ht="15.75" customHeight="1"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8"/>
      <c r="M161" s="7"/>
      <c r="N161" s="8"/>
      <c r="O161" s="8"/>
      <c r="P161" s="8"/>
      <c r="Q161" s="8"/>
      <c r="R161" s="8"/>
      <c r="S161" s="8" t="s">
        <v>63</v>
      </c>
      <c r="T161" s="7"/>
      <c r="U161" s="7"/>
      <c r="V161" s="7"/>
    </row>
    <row r="162" spans="2:22" ht="15.75" customHeight="1"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8"/>
      <c r="M162" s="7"/>
      <c r="N162" s="8"/>
      <c r="O162" s="8"/>
      <c r="P162" s="8"/>
      <c r="Q162" s="8"/>
      <c r="R162" s="8"/>
      <c r="S162" s="8" t="s">
        <v>63</v>
      </c>
      <c r="T162" s="7"/>
      <c r="U162" s="7"/>
      <c r="V162" s="7"/>
    </row>
    <row r="163" spans="2:22" ht="15.75" customHeight="1"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8"/>
      <c r="M163" s="7"/>
      <c r="N163" s="8"/>
      <c r="O163" s="8"/>
      <c r="P163" s="8"/>
      <c r="Q163" s="8"/>
      <c r="R163" s="8"/>
      <c r="S163" s="8" t="s">
        <v>63</v>
      </c>
      <c r="T163" s="7"/>
      <c r="U163" s="7"/>
      <c r="V163" s="7"/>
    </row>
    <row r="164" spans="2:22" ht="15.75" customHeight="1"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8"/>
      <c r="M164" s="7"/>
      <c r="N164" s="8"/>
      <c r="O164" s="8"/>
      <c r="P164" s="8"/>
      <c r="Q164" s="8"/>
      <c r="R164" s="8"/>
      <c r="S164" s="8" t="s">
        <v>63</v>
      </c>
      <c r="T164" s="7"/>
      <c r="U164" s="7"/>
      <c r="V164" s="7"/>
    </row>
    <row r="165" spans="2:22" ht="15.75" customHeight="1"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8"/>
      <c r="M165" s="7"/>
      <c r="N165" s="8"/>
      <c r="O165" s="8"/>
      <c r="P165" s="8"/>
      <c r="Q165" s="8"/>
      <c r="R165" s="8"/>
      <c r="S165" s="8" t="s">
        <v>63</v>
      </c>
      <c r="T165" s="7"/>
      <c r="U165" s="7"/>
      <c r="V165" s="7"/>
    </row>
    <row r="166" spans="2:22" ht="15.75" customHeight="1"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8"/>
      <c r="M166" s="7"/>
      <c r="N166" s="8"/>
      <c r="O166" s="8"/>
      <c r="P166" s="8"/>
      <c r="Q166" s="8"/>
      <c r="R166" s="8"/>
      <c r="S166" s="8" t="s">
        <v>63</v>
      </c>
      <c r="T166" s="7"/>
      <c r="U166" s="7"/>
      <c r="V166" s="7"/>
    </row>
    <row r="167" spans="2:22" ht="15.75" customHeight="1"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8"/>
      <c r="M167" s="7"/>
      <c r="N167" s="8"/>
      <c r="O167" s="8"/>
      <c r="P167" s="8"/>
      <c r="Q167" s="8"/>
      <c r="R167" s="8"/>
      <c r="S167" s="8" t="s">
        <v>63</v>
      </c>
      <c r="T167" s="7"/>
      <c r="U167" s="7"/>
      <c r="V167" s="7"/>
    </row>
    <row r="168" spans="2:22" ht="15.75" customHeight="1"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8"/>
      <c r="M168" s="7"/>
      <c r="N168" s="8"/>
      <c r="O168" s="8"/>
      <c r="P168" s="8"/>
      <c r="Q168" s="8"/>
      <c r="R168" s="8"/>
      <c r="S168" s="8" t="s">
        <v>63</v>
      </c>
      <c r="T168" s="7"/>
      <c r="U168" s="7"/>
      <c r="V168" s="7"/>
    </row>
    <row r="169" spans="2:22" ht="15.75" customHeight="1"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8"/>
      <c r="M169" s="7"/>
      <c r="N169" s="8"/>
      <c r="O169" s="8"/>
      <c r="P169" s="8"/>
      <c r="Q169" s="8"/>
      <c r="R169" s="8"/>
      <c r="S169" s="8" t="s">
        <v>63</v>
      </c>
      <c r="T169" s="7"/>
      <c r="U169" s="7"/>
      <c r="V169" s="7"/>
    </row>
    <row r="170" spans="2:22" ht="15.75" customHeight="1"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8"/>
      <c r="M170" s="7"/>
      <c r="N170" s="8"/>
      <c r="O170" s="8"/>
      <c r="P170" s="8"/>
      <c r="Q170" s="8"/>
      <c r="R170" s="8"/>
      <c r="S170" s="8" t="s">
        <v>63</v>
      </c>
      <c r="T170" s="7"/>
      <c r="U170" s="7"/>
      <c r="V170" s="7"/>
    </row>
    <row r="171" spans="2:22" ht="15.75" customHeight="1"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8"/>
      <c r="M171" s="7"/>
      <c r="N171" s="8"/>
      <c r="O171" s="8"/>
      <c r="P171" s="8"/>
      <c r="Q171" s="8"/>
      <c r="R171" s="8"/>
      <c r="S171" s="8" t="s">
        <v>63</v>
      </c>
      <c r="T171" s="7"/>
      <c r="U171" s="7"/>
      <c r="V171" s="7"/>
    </row>
    <row r="172" spans="2:22" ht="15.75" customHeight="1"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8"/>
      <c r="M172" s="7"/>
      <c r="N172" s="8"/>
      <c r="O172" s="8"/>
      <c r="P172" s="8"/>
      <c r="Q172" s="8"/>
      <c r="R172" s="8"/>
      <c r="S172" s="8" t="s">
        <v>63</v>
      </c>
      <c r="T172" s="7"/>
      <c r="U172" s="7"/>
      <c r="V172" s="7"/>
    </row>
    <row r="173" spans="2:22" ht="15.75" customHeight="1"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8"/>
      <c r="M173" s="7"/>
      <c r="N173" s="8"/>
      <c r="O173" s="8"/>
      <c r="P173" s="8"/>
      <c r="Q173" s="8"/>
      <c r="R173" s="8"/>
      <c r="S173" s="8" t="s">
        <v>63</v>
      </c>
      <c r="T173" s="7"/>
      <c r="U173" s="7"/>
      <c r="V173" s="7"/>
    </row>
    <row r="174" spans="2:22" ht="15.75" customHeight="1"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8"/>
      <c r="M174" s="7"/>
      <c r="N174" s="8"/>
      <c r="O174" s="8"/>
      <c r="P174" s="8"/>
      <c r="Q174" s="8"/>
      <c r="R174" s="8"/>
      <c r="S174" s="8" t="s">
        <v>63</v>
      </c>
      <c r="T174" s="7"/>
      <c r="U174" s="7"/>
      <c r="V174" s="7"/>
    </row>
    <row r="175" spans="2:22" ht="15.75" customHeight="1"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8"/>
      <c r="M175" s="7"/>
      <c r="N175" s="8"/>
      <c r="O175" s="8"/>
      <c r="P175" s="8"/>
      <c r="Q175" s="8"/>
      <c r="R175" s="8"/>
      <c r="S175" s="8" t="s">
        <v>63</v>
      </c>
      <c r="T175" s="7"/>
      <c r="U175" s="7"/>
      <c r="V175" s="7"/>
    </row>
    <row r="176" spans="2:22" ht="15.75" customHeight="1"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8"/>
      <c r="M176" s="7"/>
      <c r="N176" s="8"/>
      <c r="O176" s="8"/>
      <c r="P176" s="8"/>
      <c r="Q176" s="8"/>
      <c r="R176" s="8"/>
      <c r="S176" s="8" t="s">
        <v>63</v>
      </c>
      <c r="T176" s="7"/>
      <c r="U176" s="7"/>
      <c r="V176" s="7"/>
    </row>
    <row r="177" spans="2:22" ht="15.75" customHeight="1"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8"/>
      <c r="M177" s="7"/>
      <c r="N177" s="8"/>
      <c r="O177" s="8"/>
      <c r="P177" s="8"/>
      <c r="Q177" s="8"/>
      <c r="R177" s="8"/>
      <c r="S177" s="8" t="s">
        <v>63</v>
      </c>
      <c r="T177" s="7"/>
      <c r="U177" s="7"/>
      <c r="V177" s="7"/>
    </row>
    <row r="178" spans="2:22" ht="15.75" customHeight="1"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8"/>
      <c r="M178" s="7"/>
      <c r="N178" s="8"/>
      <c r="O178" s="8"/>
      <c r="P178" s="8"/>
      <c r="Q178" s="8"/>
      <c r="R178" s="8"/>
      <c r="S178" s="8" t="s">
        <v>63</v>
      </c>
      <c r="T178" s="7"/>
      <c r="U178" s="7"/>
      <c r="V178" s="7"/>
    </row>
    <row r="179" spans="2:22" ht="15.75" customHeight="1"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8"/>
      <c r="M179" s="7"/>
      <c r="N179" s="8"/>
      <c r="O179" s="8"/>
      <c r="P179" s="8"/>
      <c r="Q179" s="8"/>
      <c r="R179" s="8"/>
      <c r="S179" s="8" t="s">
        <v>63</v>
      </c>
      <c r="T179" s="7"/>
      <c r="U179" s="7"/>
      <c r="V179" s="7"/>
    </row>
    <row r="180" spans="2:22" ht="15.75" customHeight="1"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8"/>
      <c r="M180" s="7"/>
      <c r="N180" s="8"/>
      <c r="O180" s="8"/>
      <c r="P180" s="8"/>
      <c r="Q180" s="8"/>
      <c r="R180" s="8"/>
      <c r="S180" s="8" t="s">
        <v>63</v>
      </c>
      <c r="T180" s="7"/>
      <c r="U180" s="7"/>
      <c r="V180" s="7"/>
    </row>
    <row r="181" spans="2:22" ht="15.75" customHeight="1"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8"/>
      <c r="M181" s="7"/>
      <c r="N181" s="8"/>
      <c r="O181" s="8"/>
      <c r="P181" s="8"/>
      <c r="Q181" s="8"/>
      <c r="R181" s="8"/>
      <c r="S181" s="8" t="s">
        <v>63</v>
      </c>
      <c r="T181" s="7"/>
      <c r="U181" s="7"/>
      <c r="V181" s="7"/>
    </row>
    <row r="182" spans="2:22" ht="15.75" customHeight="1"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8"/>
      <c r="M182" s="7"/>
      <c r="N182" s="8"/>
      <c r="O182" s="8"/>
      <c r="P182" s="8"/>
      <c r="Q182" s="8"/>
      <c r="R182" s="8"/>
      <c r="S182" s="8" t="s">
        <v>63</v>
      </c>
      <c r="T182" s="7"/>
      <c r="U182" s="7"/>
      <c r="V182" s="7"/>
    </row>
    <row r="183" spans="2:22" ht="15.75" customHeight="1"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8"/>
      <c r="M183" s="7"/>
      <c r="N183" s="8"/>
      <c r="O183" s="8"/>
      <c r="P183" s="8"/>
      <c r="Q183" s="8"/>
      <c r="R183" s="8"/>
      <c r="S183" s="8" t="s">
        <v>63</v>
      </c>
      <c r="T183" s="7"/>
      <c r="U183" s="7"/>
      <c r="V183" s="7"/>
    </row>
    <row r="184" spans="2:22" ht="15.75" customHeight="1"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8"/>
      <c r="M184" s="7"/>
      <c r="N184" s="8"/>
      <c r="O184" s="8"/>
      <c r="P184" s="8"/>
      <c r="Q184" s="8"/>
      <c r="R184" s="8"/>
      <c r="S184" s="8" t="s">
        <v>63</v>
      </c>
      <c r="T184" s="7"/>
      <c r="U184" s="7"/>
      <c r="V184" s="7"/>
    </row>
    <row r="185" spans="2:22" ht="15.75" customHeight="1"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8"/>
      <c r="M185" s="7"/>
      <c r="N185" s="8"/>
      <c r="O185" s="8"/>
      <c r="P185" s="8"/>
      <c r="Q185" s="8"/>
      <c r="R185" s="8"/>
      <c r="S185" s="8" t="s">
        <v>63</v>
      </c>
      <c r="T185" s="7"/>
      <c r="U185" s="7"/>
      <c r="V185" s="7"/>
    </row>
    <row r="186" spans="2:22" ht="15.75" customHeight="1"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8"/>
      <c r="M186" s="7"/>
      <c r="N186" s="8"/>
      <c r="O186" s="8"/>
      <c r="P186" s="8"/>
      <c r="Q186" s="8"/>
      <c r="R186" s="8"/>
      <c r="S186" s="8" t="s">
        <v>63</v>
      </c>
      <c r="T186" s="7"/>
      <c r="U186" s="7"/>
      <c r="V186" s="7"/>
    </row>
    <row r="187" spans="2:22" ht="15.75" customHeight="1"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8"/>
      <c r="M187" s="7"/>
      <c r="N187" s="8"/>
      <c r="O187" s="8"/>
      <c r="P187" s="8"/>
      <c r="Q187" s="8"/>
      <c r="R187" s="8"/>
      <c r="S187" s="8" t="s">
        <v>63</v>
      </c>
      <c r="T187" s="7"/>
      <c r="U187" s="7"/>
      <c r="V187" s="7"/>
    </row>
    <row r="188" spans="2:22" ht="15.75" customHeight="1"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8"/>
      <c r="M188" s="7"/>
      <c r="N188" s="8"/>
      <c r="O188" s="8"/>
      <c r="P188" s="8"/>
      <c r="Q188" s="8"/>
      <c r="R188" s="8"/>
      <c r="S188" s="8" t="s">
        <v>63</v>
      </c>
      <c r="T188" s="7"/>
      <c r="U188" s="7"/>
      <c r="V188" s="7"/>
    </row>
    <row r="189" spans="2:22" ht="15.75" customHeight="1"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8"/>
      <c r="M189" s="7"/>
      <c r="N189" s="8"/>
      <c r="O189" s="8"/>
      <c r="P189" s="8"/>
      <c r="Q189" s="8"/>
      <c r="R189" s="8"/>
      <c r="S189" s="8" t="s">
        <v>63</v>
      </c>
      <c r="T189" s="7"/>
      <c r="U189" s="7"/>
      <c r="V189" s="7"/>
    </row>
    <row r="190" spans="2:22" ht="15.75" customHeight="1"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8"/>
      <c r="M190" s="7"/>
      <c r="N190" s="8"/>
      <c r="O190" s="8"/>
      <c r="P190" s="8"/>
      <c r="Q190" s="8"/>
      <c r="R190" s="8"/>
      <c r="S190" s="8" t="s">
        <v>63</v>
      </c>
      <c r="T190" s="7"/>
      <c r="U190" s="7"/>
      <c r="V190" s="7"/>
    </row>
    <row r="191" spans="2:22" ht="15.75" customHeight="1"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8"/>
      <c r="M191" s="7"/>
      <c r="N191" s="8"/>
      <c r="O191" s="8"/>
      <c r="P191" s="8"/>
      <c r="Q191" s="8"/>
      <c r="R191" s="8"/>
      <c r="S191" s="8" t="s">
        <v>63</v>
      </c>
      <c r="T191" s="7"/>
      <c r="U191" s="7"/>
      <c r="V191" s="7"/>
    </row>
    <row r="192" spans="2:22" ht="15.75" customHeight="1"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8"/>
      <c r="M192" s="7"/>
      <c r="N192" s="8"/>
      <c r="O192" s="8"/>
      <c r="P192" s="8"/>
      <c r="Q192" s="8"/>
      <c r="R192" s="8"/>
      <c r="S192" s="8" t="s">
        <v>63</v>
      </c>
      <c r="T192" s="7"/>
      <c r="U192" s="7"/>
      <c r="V192" s="7"/>
    </row>
    <row r="193" spans="2:22" ht="15.75" customHeight="1"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8"/>
      <c r="M193" s="7"/>
      <c r="N193" s="8"/>
      <c r="O193" s="8"/>
      <c r="P193" s="8"/>
      <c r="Q193" s="8"/>
      <c r="R193" s="8"/>
      <c r="S193" s="8" t="s">
        <v>63</v>
      </c>
      <c r="T193" s="7"/>
      <c r="U193" s="7"/>
      <c r="V193" s="7"/>
    </row>
    <row r="194" spans="2:22" ht="15.75" customHeight="1"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8"/>
      <c r="M194" s="7"/>
      <c r="N194" s="8"/>
      <c r="O194" s="8"/>
      <c r="P194" s="8"/>
      <c r="Q194" s="8"/>
      <c r="R194" s="8"/>
      <c r="S194" s="8" t="s">
        <v>63</v>
      </c>
      <c r="T194" s="7"/>
      <c r="U194" s="7"/>
      <c r="V194" s="7"/>
    </row>
    <row r="195" spans="2:22" ht="15.75" customHeight="1"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8"/>
      <c r="M195" s="7"/>
      <c r="N195" s="8"/>
      <c r="O195" s="8"/>
      <c r="P195" s="8"/>
      <c r="Q195" s="8"/>
      <c r="R195" s="8"/>
      <c r="S195" s="8" t="s">
        <v>63</v>
      </c>
      <c r="T195" s="7"/>
      <c r="U195" s="7"/>
      <c r="V195" s="7"/>
    </row>
    <row r="196" spans="2:22" ht="15.75" customHeight="1"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8"/>
      <c r="M196" s="7"/>
      <c r="N196" s="8"/>
      <c r="O196" s="8"/>
      <c r="P196" s="8"/>
      <c r="Q196" s="8"/>
      <c r="R196" s="8"/>
      <c r="S196" s="8" t="s">
        <v>63</v>
      </c>
      <c r="T196" s="7"/>
      <c r="U196" s="7"/>
      <c r="V196" s="7"/>
    </row>
    <row r="197" spans="2:22" ht="15.75" customHeight="1"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8"/>
      <c r="M197" s="7"/>
      <c r="N197" s="8"/>
      <c r="O197" s="8"/>
      <c r="P197" s="8"/>
      <c r="Q197" s="8"/>
      <c r="R197" s="8"/>
      <c r="S197" s="8" t="s">
        <v>63</v>
      </c>
      <c r="T197" s="7"/>
      <c r="U197" s="7"/>
      <c r="V197" s="7"/>
    </row>
    <row r="198" spans="2:22" ht="15.75" customHeight="1"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8"/>
      <c r="M198" s="7"/>
      <c r="N198" s="8"/>
      <c r="O198" s="8"/>
      <c r="P198" s="8"/>
      <c r="Q198" s="8"/>
      <c r="R198" s="8"/>
      <c r="S198" s="8" t="s">
        <v>63</v>
      </c>
      <c r="T198" s="7"/>
      <c r="U198" s="7"/>
      <c r="V198" s="7"/>
    </row>
    <row r="199" spans="2:22" ht="15.75" customHeight="1"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8"/>
      <c r="M199" s="7"/>
      <c r="N199" s="8"/>
      <c r="O199" s="8"/>
      <c r="P199" s="8"/>
      <c r="Q199" s="8"/>
      <c r="R199" s="8"/>
      <c r="S199" s="8" t="s">
        <v>63</v>
      </c>
      <c r="T199" s="7"/>
      <c r="U199" s="7"/>
      <c r="V199" s="7"/>
    </row>
    <row r="200" spans="2:22" ht="15.75" customHeight="1"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8"/>
      <c r="M200" s="7"/>
      <c r="N200" s="8"/>
      <c r="O200" s="8"/>
      <c r="P200" s="8"/>
      <c r="Q200" s="8"/>
      <c r="R200" s="8"/>
      <c r="S200" s="8" t="s">
        <v>63</v>
      </c>
      <c r="T200" s="7"/>
      <c r="U200" s="7"/>
      <c r="V200" s="7"/>
    </row>
    <row r="201" spans="2:22" ht="15.75" customHeight="1"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8"/>
      <c r="M201" s="7"/>
      <c r="N201" s="8"/>
      <c r="O201" s="8"/>
      <c r="P201" s="8"/>
      <c r="Q201" s="8"/>
      <c r="R201" s="8"/>
      <c r="S201" s="8" t="s">
        <v>63</v>
      </c>
      <c r="T201" s="7"/>
      <c r="U201" s="7"/>
      <c r="V201" s="7"/>
    </row>
    <row r="202" spans="2:22" ht="15.75" customHeight="1"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8"/>
      <c r="M202" s="7"/>
      <c r="N202" s="8"/>
      <c r="O202" s="8"/>
      <c r="P202" s="8"/>
      <c r="Q202" s="8"/>
      <c r="R202" s="8"/>
      <c r="S202" s="8" t="s">
        <v>63</v>
      </c>
      <c r="T202" s="7"/>
      <c r="U202" s="7"/>
      <c r="V202" s="7"/>
    </row>
    <row r="203" spans="2:22" ht="15.75" customHeight="1"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8"/>
      <c r="M203" s="7"/>
      <c r="N203" s="8"/>
      <c r="O203" s="8"/>
      <c r="P203" s="8"/>
      <c r="Q203" s="8"/>
      <c r="R203" s="8"/>
      <c r="S203" s="8" t="s">
        <v>63</v>
      </c>
      <c r="T203" s="7"/>
      <c r="U203" s="7"/>
      <c r="V203" s="7"/>
    </row>
    <row r="204" spans="2:22" ht="15.75" customHeight="1"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8"/>
      <c r="M204" s="7"/>
      <c r="N204" s="8"/>
      <c r="O204" s="8"/>
      <c r="P204" s="8"/>
      <c r="Q204" s="8"/>
      <c r="R204" s="8"/>
      <c r="S204" s="8" t="s">
        <v>63</v>
      </c>
      <c r="T204" s="7"/>
      <c r="U204" s="7"/>
      <c r="V204" s="7"/>
    </row>
    <row r="205" spans="2:22" ht="15.75" customHeight="1"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8"/>
      <c r="M205" s="7"/>
      <c r="N205" s="8"/>
      <c r="O205" s="8"/>
      <c r="P205" s="8"/>
      <c r="Q205" s="8"/>
      <c r="R205" s="8"/>
      <c r="S205" s="8" t="s">
        <v>63</v>
      </c>
      <c r="T205" s="7"/>
      <c r="U205" s="7"/>
      <c r="V205" s="7"/>
    </row>
    <row r="206" spans="2:22" ht="15.75" customHeight="1"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8"/>
      <c r="M206" s="7"/>
      <c r="N206" s="8"/>
      <c r="O206" s="8"/>
      <c r="P206" s="8"/>
      <c r="Q206" s="8"/>
      <c r="R206" s="8"/>
      <c r="S206" s="8" t="s">
        <v>63</v>
      </c>
      <c r="T206" s="7"/>
      <c r="U206" s="7"/>
      <c r="V206" s="7"/>
    </row>
    <row r="207" spans="2:22" ht="15.75" customHeight="1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8"/>
      <c r="M207" s="7"/>
      <c r="N207" s="8"/>
      <c r="O207" s="8"/>
      <c r="P207" s="8"/>
      <c r="Q207" s="8"/>
      <c r="R207" s="8"/>
      <c r="S207" s="8" t="s">
        <v>63</v>
      </c>
      <c r="T207" s="7"/>
      <c r="U207" s="7"/>
      <c r="V207" s="7"/>
    </row>
    <row r="208" spans="2:22" ht="15.75" customHeight="1"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8"/>
      <c r="M208" s="7"/>
      <c r="N208" s="8"/>
      <c r="O208" s="8"/>
      <c r="P208" s="8"/>
      <c r="Q208" s="8"/>
      <c r="R208" s="8"/>
      <c r="S208" s="8" t="s">
        <v>63</v>
      </c>
      <c r="T208" s="7"/>
      <c r="U208" s="7"/>
      <c r="V208" s="7"/>
    </row>
    <row r="209" spans="2:22" ht="15.75" customHeight="1"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8"/>
      <c r="M209" s="7"/>
      <c r="N209" s="8"/>
      <c r="O209" s="8"/>
      <c r="P209" s="8"/>
      <c r="Q209" s="8"/>
      <c r="R209" s="8"/>
      <c r="S209" s="8" t="s">
        <v>63</v>
      </c>
      <c r="T209" s="7"/>
      <c r="U209" s="7"/>
      <c r="V209" s="7"/>
    </row>
    <row r="210" spans="2:22" ht="15.75" customHeight="1"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8"/>
      <c r="M210" s="7"/>
      <c r="N210" s="8"/>
      <c r="O210" s="8"/>
      <c r="P210" s="8"/>
      <c r="Q210" s="8"/>
      <c r="R210" s="8"/>
      <c r="S210" s="8" t="s">
        <v>63</v>
      </c>
      <c r="T210" s="7"/>
      <c r="U210" s="7"/>
      <c r="V210" s="7"/>
    </row>
    <row r="211" spans="2:22" ht="15.75" customHeight="1"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8"/>
      <c r="M211" s="7"/>
      <c r="N211" s="8"/>
      <c r="O211" s="8"/>
      <c r="P211" s="8"/>
      <c r="Q211" s="8"/>
      <c r="R211" s="8"/>
      <c r="S211" s="8" t="s">
        <v>63</v>
      </c>
      <c r="T211" s="7"/>
      <c r="U211" s="7"/>
      <c r="V211" s="7"/>
    </row>
    <row r="212" spans="2:22" ht="15.75" customHeight="1"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8"/>
      <c r="M212" s="7"/>
      <c r="N212" s="8"/>
      <c r="O212" s="8"/>
      <c r="P212" s="8"/>
      <c r="Q212" s="8"/>
      <c r="R212" s="8"/>
      <c r="S212" s="8" t="s">
        <v>63</v>
      </c>
      <c r="T212" s="7"/>
      <c r="U212" s="7"/>
      <c r="V212" s="7"/>
    </row>
    <row r="213" spans="2:22" ht="15.75" customHeight="1"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8"/>
      <c r="M213" s="7"/>
      <c r="N213" s="8"/>
      <c r="O213" s="8"/>
      <c r="P213" s="8"/>
      <c r="Q213" s="8"/>
      <c r="R213" s="8"/>
      <c r="S213" s="8" t="s">
        <v>63</v>
      </c>
      <c r="T213" s="7"/>
      <c r="U213" s="7"/>
      <c r="V213" s="7"/>
    </row>
    <row r="214" spans="2:22" ht="15.75" customHeight="1"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8"/>
      <c r="M214" s="7"/>
      <c r="N214" s="8"/>
      <c r="O214" s="8"/>
      <c r="P214" s="8"/>
      <c r="Q214" s="8"/>
      <c r="R214" s="8"/>
      <c r="S214" s="8" t="s">
        <v>63</v>
      </c>
      <c r="T214" s="7"/>
      <c r="U214" s="7"/>
      <c r="V214" s="7"/>
    </row>
    <row r="215" spans="2:22" ht="15.75" customHeight="1"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8"/>
      <c r="M215" s="7"/>
      <c r="N215" s="8"/>
      <c r="O215" s="8"/>
      <c r="P215" s="8"/>
      <c r="Q215" s="8"/>
      <c r="R215" s="8"/>
      <c r="S215" s="8" t="s">
        <v>63</v>
      </c>
      <c r="T215" s="7"/>
      <c r="U215" s="7"/>
      <c r="V215" s="7"/>
    </row>
    <row r="216" spans="2:22" ht="15.75" customHeight="1"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8"/>
      <c r="M216" s="7"/>
      <c r="N216" s="8"/>
      <c r="O216" s="8"/>
      <c r="P216" s="8"/>
      <c r="Q216" s="8"/>
      <c r="R216" s="8"/>
      <c r="S216" s="8" t="s">
        <v>63</v>
      </c>
      <c r="T216" s="7"/>
      <c r="U216" s="7"/>
      <c r="V216" s="7"/>
    </row>
    <row r="217" spans="2:22" ht="15.75" customHeight="1"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8"/>
      <c r="M217" s="7"/>
      <c r="N217" s="8"/>
      <c r="O217" s="8"/>
      <c r="P217" s="8"/>
      <c r="Q217" s="8"/>
      <c r="R217" s="8"/>
      <c r="S217" s="8" t="s">
        <v>63</v>
      </c>
      <c r="T217" s="7"/>
      <c r="U217" s="7"/>
      <c r="V217" s="7"/>
    </row>
    <row r="218" spans="2:22" ht="15.75" customHeight="1"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8"/>
      <c r="M218" s="7"/>
      <c r="N218" s="8"/>
      <c r="O218" s="8"/>
      <c r="P218" s="8"/>
      <c r="Q218" s="8"/>
      <c r="R218" s="8"/>
      <c r="S218" s="8" t="s">
        <v>63</v>
      </c>
      <c r="T218" s="7"/>
      <c r="U218" s="7"/>
      <c r="V218" s="7"/>
    </row>
    <row r="219" spans="2:22" ht="15.75" customHeight="1"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8"/>
      <c r="M219" s="7"/>
      <c r="N219" s="8"/>
      <c r="O219" s="8"/>
      <c r="P219" s="8"/>
      <c r="Q219" s="8"/>
      <c r="R219" s="8"/>
      <c r="S219" s="8" t="s">
        <v>63</v>
      </c>
      <c r="T219" s="7"/>
      <c r="U219" s="7"/>
      <c r="V219" s="7"/>
    </row>
    <row r="220" spans="2:22" ht="15.75" customHeight="1"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8"/>
      <c r="M220" s="7"/>
      <c r="N220" s="8"/>
      <c r="O220" s="8"/>
      <c r="P220" s="8"/>
      <c r="Q220" s="8"/>
      <c r="R220" s="8"/>
      <c r="S220" s="8" t="s">
        <v>63</v>
      </c>
      <c r="T220" s="7"/>
      <c r="U220" s="7"/>
      <c r="V220" s="7"/>
    </row>
    <row r="221" spans="2:22" ht="15.75" customHeight="1"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8"/>
      <c r="M221" s="7"/>
      <c r="N221" s="8"/>
      <c r="O221" s="8"/>
      <c r="P221" s="8"/>
      <c r="Q221" s="8"/>
      <c r="R221" s="8"/>
      <c r="S221" s="8" t="s">
        <v>63</v>
      </c>
      <c r="T221" s="7"/>
      <c r="U221" s="7"/>
      <c r="V221" s="7"/>
    </row>
    <row r="222" spans="2:22" ht="15.75" customHeight="1"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8"/>
      <c r="M222" s="7"/>
      <c r="N222" s="8"/>
      <c r="O222" s="8"/>
      <c r="P222" s="8"/>
      <c r="Q222" s="8"/>
      <c r="R222" s="8"/>
      <c r="S222" s="8" t="s">
        <v>63</v>
      </c>
      <c r="T222" s="7"/>
      <c r="U222" s="7"/>
      <c r="V222" s="7"/>
    </row>
    <row r="223" spans="2:22" ht="15.75" customHeight="1"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8"/>
      <c r="M223" s="7"/>
      <c r="N223" s="8"/>
      <c r="O223" s="8"/>
      <c r="P223" s="8"/>
      <c r="Q223" s="8"/>
      <c r="R223" s="8"/>
      <c r="S223" s="8" t="s">
        <v>63</v>
      </c>
      <c r="T223" s="7"/>
      <c r="U223" s="7"/>
      <c r="V223" s="7"/>
    </row>
    <row r="224" spans="2:22" ht="15.75" customHeight="1"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8"/>
      <c r="M224" s="7"/>
      <c r="N224" s="8"/>
      <c r="O224" s="8"/>
      <c r="P224" s="8"/>
      <c r="Q224" s="8"/>
      <c r="R224" s="8"/>
      <c r="S224" s="8" t="s">
        <v>63</v>
      </c>
      <c r="T224" s="7"/>
      <c r="U224" s="7"/>
      <c r="V224" s="7"/>
    </row>
    <row r="225" spans="2:22" ht="15.75" customHeight="1"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8"/>
      <c r="M225" s="7"/>
      <c r="N225" s="8"/>
      <c r="O225" s="8"/>
      <c r="P225" s="8"/>
      <c r="Q225" s="8"/>
      <c r="R225" s="8"/>
      <c r="S225" s="8" t="s">
        <v>63</v>
      </c>
      <c r="T225" s="7"/>
      <c r="U225" s="7"/>
      <c r="V225" s="7"/>
    </row>
    <row r="226" spans="2:22" ht="15.75" customHeight="1"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8"/>
      <c r="M226" s="7"/>
      <c r="N226" s="8"/>
      <c r="O226" s="8"/>
      <c r="P226" s="8"/>
      <c r="Q226" s="8"/>
      <c r="R226" s="8"/>
      <c r="S226" s="8" t="s">
        <v>63</v>
      </c>
      <c r="T226" s="7"/>
      <c r="U226" s="7"/>
      <c r="V226" s="7"/>
    </row>
    <row r="227" spans="2:22" ht="15.75" customHeight="1"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8"/>
      <c r="M227" s="7"/>
      <c r="N227" s="8"/>
      <c r="O227" s="8"/>
      <c r="P227" s="8"/>
      <c r="Q227" s="8"/>
      <c r="R227" s="8"/>
      <c r="S227" s="8" t="s">
        <v>63</v>
      </c>
      <c r="T227" s="7"/>
      <c r="U227" s="7"/>
      <c r="V227" s="7"/>
    </row>
    <row r="228" spans="2:22" ht="15.75" customHeight="1"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8"/>
      <c r="M228" s="7"/>
      <c r="N228" s="8"/>
      <c r="O228" s="8"/>
      <c r="P228" s="8"/>
      <c r="Q228" s="8"/>
      <c r="R228" s="8"/>
      <c r="S228" s="8" t="s">
        <v>63</v>
      </c>
      <c r="T228" s="7"/>
      <c r="U228" s="7"/>
      <c r="V228" s="7"/>
    </row>
    <row r="229" spans="2:22" ht="15.75" customHeight="1"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8"/>
      <c r="M229" s="7"/>
      <c r="N229" s="8"/>
      <c r="O229" s="8"/>
      <c r="P229" s="8"/>
      <c r="Q229" s="8"/>
      <c r="R229" s="8"/>
      <c r="S229" s="8" t="s">
        <v>63</v>
      </c>
      <c r="T229" s="7"/>
      <c r="U229" s="7"/>
      <c r="V229" s="7"/>
    </row>
    <row r="230" spans="2:22" ht="15.75" customHeight="1"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8"/>
      <c r="M230" s="7"/>
      <c r="N230" s="8"/>
      <c r="O230" s="8"/>
      <c r="P230" s="8"/>
      <c r="Q230" s="8"/>
      <c r="R230" s="8"/>
      <c r="S230" s="8" t="s">
        <v>63</v>
      </c>
      <c r="T230" s="7"/>
      <c r="U230" s="7"/>
      <c r="V230" s="7"/>
    </row>
    <row r="231" spans="2:22" ht="15.75" customHeight="1"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8"/>
      <c r="M231" s="7"/>
      <c r="N231" s="8"/>
      <c r="O231" s="8"/>
      <c r="P231" s="8"/>
      <c r="Q231" s="8"/>
      <c r="R231" s="8"/>
      <c r="S231" s="8" t="s">
        <v>63</v>
      </c>
      <c r="T231" s="7"/>
      <c r="U231" s="7"/>
      <c r="V231" s="7"/>
    </row>
    <row r="232" spans="2:22" ht="15.75" customHeight="1"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8"/>
      <c r="M232" s="7"/>
      <c r="N232" s="8"/>
      <c r="O232" s="8"/>
      <c r="P232" s="8"/>
      <c r="Q232" s="8"/>
      <c r="R232" s="8"/>
      <c r="S232" s="8" t="s">
        <v>63</v>
      </c>
      <c r="T232" s="7"/>
      <c r="U232" s="7"/>
      <c r="V232" s="7"/>
    </row>
    <row r="233" spans="2:22" ht="15.75" customHeight="1"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8"/>
      <c r="M233" s="7"/>
      <c r="N233" s="8"/>
      <c r="O233" s="8"/>
      <c r="P233" s="8"/>
      <c r="Q233" s="8"/>
      <c r="R233" s="8"/>
      <c r="S233" s="8" t="s">
        <v>63</v>
      </c>
      <c r="T233" s="7"/>
      <c r="U233" s="7"/>
      <c r="V233" s="7"/>
    </row>
    <row r="234" spans="2:22" ht="15.75" customHeight="1"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8"/>
      <c r="M234" s="7"/>
      <c r="N234" s="8"/>
      <c r="O234" s="8"/>
      <c r="P234" s="8"/>
      <c r="Q234" s="8"/>
      <c r="R234" s="8"/>
      <c r="S234" s="8" t="s">
        <v>63</v>
      </c>
      <c r="T234" s="7"/>
      <c r="U234" s="7"/>
      <c r="V234" s="7"/>
    </row>
    <row r="235" spans="2:22" ht="15.75" customHeight="1"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8"/>
      <c r="M235" s="7"/>
      <c r="N235" s="8"/>
      <c r="O235" s="8"/>
      <c r="P235" s="8"/>
      <c r="Q235" s="8"/>
      <c r="R235" s="8"/>
      <c r="S235" s="8" t="s">
        <v>63</v>
      </c>
      <c r="T235" s="7"/>
      <c r="U235" s="7"/>
      <c r="V235" s="7"/>
    </row>
    <row r="236" spans="2:22" ht="15.75" customHeight="1"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8"/>
      <c r="M236" s="7"/>
      <c r="N236" s="8"/>
      <c r="O236" s="8"/>
      <c r="P236" s="8"/>
      <c r="Q236" s="8"/>
      <c r="R236" s="8"/>
      <c r="S236" s="8" t="s">
        <v>63</v>
      </c>
      <c r="T236" s="7"/>
      <c r="U236" s="7"/>
      <c r="V236" s="7"/>
    </row>
    <row r="237" spans="2:22" ht="15.75" customHeight="1"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8"/>
      <c r="M237" s="7"/>
      <c r="N237" s="8"/>
      <c r="O237" s="8"/>
      <c r="P237" s="8"/>
      <c r="Q237" s="8"/>
      <c r="R237" s="8"/>
      <c r="S237" s="8" t="s">
        <v>63</v>
      </c>
      <c r="T237" s="7"/>
      <c r="U237" s="7"/>
      <c r="V237" s="7"/>
    </row>
    <row r="238" spans="2:22" ht="15.75" customHeight="1"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8"/>
      <c r="M238" s="7"/>
      <c r="N238" s="8"/>
      <c r="O238" s="8"/>
      <c r="P238" s="8"/>
      <c r="Q238" s="8"/>
      <c r="R238" s="8"/>
      <c r="S238" s="8" t="s">
        <v>63</v>
      </c>
      <c r="T238" s="7"/>
      <c r="U238" s="7"/>
      <c r="V238" s="7"/>
    </row>
    <row r="239" spans="2:22" ht="15.75" customHeight="1"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8"/>
      <c r="M239" s="7"/>
      <c r="N239" s="8"/>
      <c r="O239" s="8"/>
      <c r="P239" s="8"/>
      <c r="Q239" s="8"/>
      <c r="R239" s="8"/>
      <c r="S239" s="8" t="s">
        <v>63</v>
      </c>
      <c r="T239" s="7"/>
      <c r="U239" s="7"/>
      <c r="V239" s="7"/>
    </row>
    <row r="240" spans="2:22" ht="15.75" customHeight="1"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8"/>
      <c r="M240" s="7"/>
      <c r="N240" s="8"/>
      <c r="O240" s="8"/>
      <c r="P240" s="8"/>
      <c r="Q240" s="8"/>
      <c r="R240" s="8"/>
      <c r="S240" s="8" t="s">
        <v>63</v>
      </c>
      <c r="T240" s="7"/>
      <c r="U240" s="7"/>
      <c r="V240" s="7"/>
    </row>
    <row r="241" spans="2:22" ht="15.75" customHeight="1"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8"/>
      <c r="M241" s="7"/>
      <c r="N241" s="8"/>
      <c r="O241" s="8"/>
      <c r="P241" s="8"/>
      <c r="Q241" s="8"/>
      <c r="R241" s="8"/>
      <c r="S241" s="8" t="s">
        <v>63</v>
      </c>
      <c r="T241" s="7"/>
      <c r="U241" s="7"/>
      <c r="V241" s="7"/>
    </row>
    <row r="242" spans="2:22" ht="15.75" customHeight="1"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8"/>
      <c r="M242" s="7"/>
      <c r="N242" s="8"/>
      <c r="O242" s="8"/>
      <c r="P242" s="8"/>
      <c r="Q242" s="8"/>
      <c r="R242" s="8"/>
      <c r="S242" s="8" t="s">
        <v>63</v>
      </c>
      <c r="T242" s="7"/>
      <c r="U242" s="7"/>
      <c r="V242" s="7"/>
    </row>
    <row r="243" spans="2:22" ht="15.75" customHeight="1"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8"/>
      <c r="M243" s="7"/>
      <c r="N243" s="8"/>
      <c r="O243" s="8"/>
      <c r="P243" s="8"/>
      <c r="Q243" s="8"/>
      <c r="R243" s="8"/>
      <c r="S243" s="8" t="s">
        <v>63</v>
      </c>
      <c r="T243" s="7"/>
      <c r="U243" s="7"/>
      <c r="V243" s="7"/>
    </row>
    <row r="244" spans="2:22" ht="15.75" customHeight="1"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8"/>
      <c r="M244" s="7"/>
      <c r="N244" s="8"/>
      <c r="O244" s="8"/>
      <c r="P244" s="8"/>
      <c r="Q244" s="8"/>
      <c r="R244" s="8"/>
      <c r="S244" s="8" t="s">
        <v>63</v>
      </c>
      <c r="T244" s="7"/>
      <c r="U244" s="7"/>
      <c r="V244" s="7"/>
    </row>
    <row r="245" spans="2:22" ht="15.75" customHeight="1"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8"/>
      <c r="M245" s="7"/>
      <c r="N245" s="8"/>
      <c r="O245" s="8"/>
      <c r="P245" s="8"/>
      <c r="Q245" s="8"/>
      <c r="R245" s="8"/>
      <c r="S245" s="8" t="s">
        <v>63</v>
      </c>
      <c r="T245" s="7"/>
      <c r="U245" s="7"/>
      <c r="V245" s="7"/>
    </row>
    <row r="246" spans="2:22" ht="15.75" customHeight="1"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8"/>
      <c r="M246" s="7"/>
      <c r="N246" s="8"/>
      <c r="O246" s="8"/>
      <c r="P246" s="8"/>
      <c r="Q246" s="8"/>
      <c r="R246" s="8"/>
      <c r="S246" s="8" t="s">
        <v>63</v>
      </c>
      <c r="T246" s="7"/>
      <c r="U246" s="7"/>
      <c r="V246" s="7"/>
    </row>
    <row r="247" spans="2:22" ht="15.75" customHeight="1"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8"/>
      <c r="M247" s="7"/>
      <c r="N247" s="8"/>
      <c r="O247" s="8"/>
      <c r="P247" s="8"/>
      <c r="Q247" s="8"/>
      <c r="R247" s="8"/>
      <c r="S247" s="8" t="s">
        <v>63</v>
      </c>
      <c r="T247" s="7"/>
      <c r="U247" s="7"/>
      <c r="V247" s="7"/>
    </row>
    <row r="248" spans="2:22" ht="15.75" customHeight="1"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8"/>
      <c r="M248" s="7"/>
      <c r="N248" s="8"/>
      <c r="O248" s="8"/>
      <c r="P248" s="8"/>
      <c r="Q248" s="8"/>
      <c r="R248" s="8"/>
      <c r="S248" s="8" t="s">
        <v>63</v>
      </c>
      <c r="T248" s="7"/>
      <c r="U248" s="7"/>
      <c r="V248" s="7"/>
    </row>
    <row r="249" spans="2:22" ht="15.75" customHeight="1"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8"/>
      <c r="M249" s="7"/>
      <c r="N249" s="8"/>
      <c r="O249" s="8"/>
      <c r="P249" s="8"/>
      <c r="Q249" s="8"/>
      <c r="R249" s="8"/>
      <c r="S249" s="8" t="s">
        <v>63</v>
      </c>
      <c r="T249" s="7"/>
      <c r="U249" s="7"/>
      <c r="V249" s="7"/>
    </row>
    <row r="250" spans="2:22" ht="15.75" customHeight="1"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8"/>
      <c r="M250" s="7"/>
      <c r="N250" s="8"/>
      <c r="O250" s="8"/>
      <c r="P250" s="8"/>
      <c r="Q250" s="8"/>
      <c r="R250" s="8"/>
      <c r="S250" s="8" t="s">
        <v>63</v>
      </c>
      <c r="T250" s="7"/>
      <c r="U250" s="7"/>
      <c r="V250" s="7"/>
    </row>
    <row r="251" spans="2:22" ht="15.75" customHeight="1"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8"/>
      <c r="M251" s="7"/>
      <c r="N251" s="8"/>
      <c r="O251" s="8"/>
      <c r="P251" s="8"/>
      <c r="Q251" s="8"/>
      <c r="R251" s="8"/>
      <c r="S251" s="8" t="s">
        <v>63</v>
      </c>
      <c r="T251" s="7"/>
      <c r="U251" s="7"/>
      <c r="V251" s="7"/>
    </row>
    <row r="252" spans="2:22" ht="15.75" customHeight="1"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8"/>
      <c r="M252" s="7"/>
      <c r="N252" s="8"/>
      <c r="O252" s="8"/>
      <c r="P252" s="8"/>
      <c r="Q252" s="8"/>
      <c r="R252" s="8"/>
      <c r="S252" s="8" t="s">
        <v>63</v>
      </c>
      <c r="T252" s="7"/>
      <c r="U252" s="7"/>
      <c r="V252" s="7"/>
    </row>
    <row r="253" spans="2:22" ht="15.75" customHeight="1"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8"/>
      <c r="M253" s="7"/>
      <c r="N253" s="8"/>
      <c r="O253" s="8"/>
      <c r="P253" s="8"/>
      <c r="Q253" s="8"/>
      <c r="R253" s="8"/>
      <c r="S253" s="8" t="s">
        <v>63</v>
      </c>
      <c r="T253" s="7"/>
      <c r="U253" s="7"/>
      <c r="V253" s="7"/>
    </row>
    <row r="254" spans="2:22" ht="15.75" customHeight="1"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8"/>
      <c r="M254" s="7"/>
      <c r="N254" s="8"/>
      <c r="O254" s="8"/>
      <c r="P254" s="8"/>
      <c r="Q254" s="8"/>
      <c r="R254" s="8"/>
      <c r="S254" s="8" t="s">
        <v>63</v>
      </c>
      <c r="T254" s="7"/>
      <c r="U254" s="7"/>
      <c r="V254" s="7"/>
    </row>
    <row r="255" spans="2:22" ht="15.75" customHeight="1"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8"/>
      <c r="M255" s="7"/>
      <c r="N255" s="8"/>
      <c r="O255" s="8"/>
      <c r="P255" s="8"/>
      <c r="Q255" s="8"/>
      <c r="R255" s="8"/>
      <c r="S255" s="8" t="s">
        <v>63</v>
      </c>
      <c r="T255" s="7"/>
      <c r="U255" s="7"/>
      <c r="V255" s="7"/>
    </row>
    <row r="256" spans="2:22" ht="15.75" customHeight="1"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8"/>
      <c r="M256" s="7"/>
      <c r="N256" s="8"/>
      <c r="O256" s="8"/>
      <c r="P256" s="8"/>
      <c r="Q256" s="8"/>
      <c r="R256" s="8"/>
      <c r="S256" s="8" t="s">
        <v>63</v>
      </c>
      <c r="T256" s="7"/>
      <c r="U256" s="7"/>
      <c r="V256" s="7"/>
    </row>
    <row r="257" spans="2:22" ht="15.75" customHeight="1"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8"/>
      <c r="M257" s="7"/>
      <c r="N257" s="8"/>
      <c r="O257" s="8"/>
      <c r="P257" s="8"/>
      <c r="Q257" s="8"/>
      <c r="R257" s="8"/>
      <c r="S257" s="8" t="s">
        <v>63</v>
      </c>
      <c r="T257" s="7"/>
      <c r="U257" s="7"/>
      <c r="V257" s="7"/>
    </row>
    <row r="258" spans="2:22" ht="15.75" customHeight="1"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8"/>
      <c r="M258" s="7"/>
      <c r="N258" s="8"/>
      <c r="O258" s="8"/>
      <c r="P258" s="8"/>
      <c r="Q258" s="8"/>
      <c r="R258" s="8"/>
      <c r="S258" s="8" t="s">
        <v>63</v>
      </c>
      <c r="T258" s="7"/>
      <c r="U258" s="7"/>
      <c r="V258" s="7"/>
    </row>
    <row r="259" spans="2:22" ht="15.75" customHeight="1"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8"/>
      <c r="M259" s="7"/>
      <c r="N259" s="8"/>
      <c r="O259" s="8"/>
      <c r="P259" s="8"/>
      <c r="Q259" s="8"/>
      <c r="R259" s="8"/>
      <c r="S259" s="8" t="s">
        <v>63</v>
      </c>
      <c r="T259" s="7"/>
      <c r="U259" s="7"/>
      <c r="V259" s="7"/>
    </row>
    <row r="260" spans="2:22" ht="15.75" customHeight="1"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8"/>
      <c r="M260" s="7"/>
      <c r="N260" s="8"/>
      <c r="O260" s="8"/>
      <c r="P260" s="8"/>
      <c r="Q260" s="8"/>
      <c r="R260" s="8"/>
      <c r="S260" s="8" t="s">
        <v>63</v>
      </c>
      <c r="T260" s="7"/>
      <c r="U260" s="7"/>
      <c r="V260" s="7"/>
    </row>
    <row r="261" spans="2:22" ht="15.75" customHeight="1"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8"/>
      <c r="M261" s="7"/>
      <c r="N261" s="8"/>
      <c r="O261" s="8"/>
      <c r="P261" s="8"/>
      <c r="Q261" s="8"/>
      <c r="R261" s="8"/>
      <c r="S261" s="8" t="s">
        <v>63</v>
      </c>
      <c r="T261" s="7"/>
      <c r="U261" s="7"/>
      <c r="V261" s="7"/>
    </row>
    <row r="262" spans="2:22" ht="15.75" customHeight="1"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8"/>
      <c r="M262" s="7"/>
      <c r="N262" s="8"/>
      <c r="O262" s="8"/>
      <c r="P262" s="8"/>
      <c r="Q262" s="8"/>
      <c r="R262" s="8"/>
      <c r="S262" s="8" t="s">
        <v>63</v>
      </c>
      <c r="T262" s="7"/>
      <c r="U262" s="7"/>
      <c r="V262" s="7"/>
    </row>
    <row r="263" spans="2:22" ht="15.75" customHeight="1"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8"/>
      <c r="M263" s="7"/>
      <c r="N263" s="8"/>
      <c r="O263" s="8"/>
      <c r="P263" s="8"/>
      <c r="Q263" s="8"/>
      <c r="R263" s="8"/>
      <c r="S263" s="8" t="s">
        <v>63</v>
      </c>
      <c r="T263" s="7"/>
      <c r="U263" s="7"/>
      <c r="V263" s="7"/>
    </row>
    <row r="264" spans="2:22" ht="15.75" customHeight="1"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8"/>
      <c r="M264" s="7"/>
      <c r="N264" s="8"/>
      <c r="O264" s="8"/>
      <c r="P264" s="8"/>
      <c r="Q264" s="8"/>
      <c r="R264" s="8"/>
      <c r="S264" s="8" t="s">
        <v>63</v>
      </c>
      <c r="T264" s="7"/>
      <c r="U264" s="7"/>
      <c r="V264" s="7"/>
    </row>
    <row r="265" spans="2:22" ht="15.75" customHeight="1"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8"/>
      <c r="M265" s="7"/>
      <c r="N265" s="8"/>
      <c r="O265" s="8"/>
      <c r="P265" s="8"/>
      <c r="Q265" s="8"/>
      <c r="R265" s="8"/>
      <c r="S265" s="8" t="s">
        <v>63</v>
      </c>
      <c r="T265" s="7"/>
      <c r="U265" s="7"/>
      <c r="V265" s="7"/>
    </row>
    <row r="266" spans="2:22" ht="15.75" customHeight="1"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8"/>
      <c r="M266" s="7"/>
      <c r="N266" s="8"/>
      <c r="O266" s="8"/>
      <c r="P266" s="8"/>
      <c r="Q266" s="8"/>
      <c r="R266" s="8"/>
      <c r="S266" s="8" t="s">
        <v>63</v>
      </c>
      <c r="T266" s="7"/>
      <c r="U266" s="7"/>
      <c r="V266" s="7"/>
    </row>
    <row r="267" spans="2:22" ht="15.75" customHeight="1"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8"/>
      <c r="M267" s="7"/>
      <c r="N267" s="8"/>
      <c r="O267" s="8"/>
      <c r="P267" s="8"/>
      <c r="Q267" s="8"/>
      <c r="R267" s="8"/>
      <c r="S267" s="8" t="s">
        <v>63</v>
      </c>
      <c r="T267" s="7"/>
      <c r="U267" s="7"/>
      <c r="V267" s="7"/>
    </row>
    <row r="268" spans="2:22" ht="15.75" customHeight="1"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8"/>
      <c r="M268" s="7"/>
      <c r="N268" s="8"/>
      <c r="O268" s="8"/>
      <c r="P268" s="8"/>
      <c r="Q268" s="8"/>
      <c r="R268" s="8"/>
      <c r="S268" s="8" t="s">
        <v>63</v>
      </c>
      <c r="T268" s="7"/>
      <c r="U268" s="7"/>
      <c r="V268" s="7"/>
    </row>
    <row r="269" spans="2:22" ht="15.75" customHeight="1"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8"/>
      <c r="M269" s="7"/>
      <c r="N269" s="8"/>
      <c r="O269" s="8"/>
      <c r="P269" s="8"/>
      <c r="Q269" s="8"/>
      <c r="R269" s="8"/>
      <c r="S269" s="8" t="s">
        <v>63</v>
      </c>
      <c r="T269" s="7"/>
      <c r="U269" s="7"/>
      <c r="V269" s="7"/>
    </row>
    <row r="270" spans="2:22" ht="15.75" customHeight="1"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8"/>
      <c r="M270" s="7"/>
      <c r="N270" s="8"/>
      <c r="O270" s="8"/>
      <c r="P270" s="8"/>
      <c r="Q270" s="8"/>
      <c r="R270" s="8"/>
      <c r="S270" s="8" t="s">
        <v>63</v>
      </c>
      <c r="T270" s="7"/>
      <c r="U270" s="7"/>
      <c r="V270" s="7"/>
    </row>
    <row r="271" spans="2:22" ht="15.75" customHeight="1"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8"/>
      <c r="M271" s="7"/>
      <c r="N271" s="8"/>
      <c r="O271" s="8"/>
      <c r="P271" s="8"/>
      <c r="Q271" s="8"/>
      <c r="R271" s="8"/>
      <c r="S271" s="8" t="s">
        <v>63</v>
      </c>
      <c r="T271" s="7"/>
      <c r="U271" s="7"/>
      <c r="V271" s="7"/>
    </row>
    <row r="272" spans="2:22" ht="15.75" customHeight="1"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8"/>
      <c r="M272" s="7"/>
      <c r="N272" s="8"/>
      <c r="O272" s="8"/>
      <c r="P272" s="8"/>
      <c r="Q272" s="8"/>
      <c r="R272" s="8"/>
      <c r="S272" s="8" t="s">
        <v>63</v>
      </c>
      <c r="T272" s="7"/>
      <c r="U272" s="7"/>
      <c r="V272" s="7"/>
    </row>
    <row r="273" spans="2:22" ht="15.75" customHeight="1"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8"/>
      <c r="M273" s="7"/>
      <c r="N273" s="8"/>
      <c r="O273" s="8"/>
      <c r="P273" s="8"/>
      <c r="Q273" s="8"/>
      <c r="R273" s="8"/>
      <c r="S273" s="8" t="s">
        <v>63</v>
      </c>
      <c r="T273" s="7"/>
      <c r="U273" s="7"/>
      <c r="V273" s="7"/>
    </row>
    <row r="274" spans="2:22" ht="15.75" customHeight="1"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8"/>
      <c r="M274" s="7"/>
      <c r="N274" s="8"/>
      <c r="O274" s="8"/>
      <c r="P274" s="8"/>
      <c r="Q274" s="8"/>
      <c r="R274" s="8"/>
      <c r="S274" s="8" t="s">
        <v>63</v>
      </c>
      <c r="T274" s="7"/>
      <c r="U274" s="7"/>
      <c r="V274" s="7"/>
    </row>
    <row r="275" spans="2:22" ht="15.75" customHeight="1"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8"/>
      <c r="M275" s="7"/>
      <c r="N275" s="8"/>
      <c r="O275" s="8"/>
      <c r="P275" s="8"/>
      <c r="Q275" s="8"/>
      <c r="R275" s="8"/>
      <c r="S275" s="8" t="s">
        <v>63</v>
      </c>
      <c r="T275" s="7"/>
      <c r="U275" s="7"/>
      <c r="V275" s="7"/>
    </row>
    <row r="276" spans="2:22" ht="15.75" customHeight="1"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8"/>
      <c r="M276" s="7"/>
      <c r="N276" s="8"/>
      <c r="O276" s="8"/>
      <c r="P276" s="8"/>
      <c r="Q276" s="8"/>
      <c r="R276" s="8"/>
      <c r="S276" s="8" t="s">
        <v>63</v>
      </c>
      <c r="T276" s="7"/>
      <c r="U276" s="7"/>
      <c r="V276" s="7"/>
    </row>
    <row r="277" spans="2:22" ht="15.75" customHeight="1"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8"/>
      <c r="M277" s="7"/>
      <c r="N277" s="8"/>
      <c r="O277" s="8"/>
      <c r="P277" s="8"/>
      <c r="Q277" s="8"/>
      <c r="R277" s="8"/>
      <c r="S277" s="8" t="s">
        <v>63</v>
      </c>
      <c r="T277" s="7"/>
      <c r="U277" s="7"/>
      <c r="V277" s="7"/>
    </row>
    <row r="278" spans="2:22" ht="15.75" customHeight="1"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8"/>
      <c r="M278" s="7"/>
      <c r="N278" s="8"/>
      <c r="O278" s="8"/>
      <c r="P278" s="8"/>
      <c r="Q278" s="8"/>
      <c r="R278" s="8"/>
      <c r="S278" s="8" t="s">
        <v>63</v>
      </c>
      <c r="T278" s="7"/>
      <c r="U278" s="7"/>
      <c r="V278" s="7"/>
    </row>
    <row r="279" spans="2:22" ht="15.75" customHeight="1"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8"/>
      <c r="M279" s="7"/>
      <c r="N279" s="8"/>
      <c r="O279" s="8"/>
      <c r="P279" s="8"/>
      <c r="Q279" s="8"/>
      <c r="R279" s="8"/>
      <c r="S279" s="8" t="s">
        <v>63</v>
      </c>
      <c r="T279" s="7"/>
      <c r="U279" s="7"/>
      <c r="V279" s="7"/>
    </row>
    <row r="280" spans="2:22" ht="15.75" customHeight="1"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8"/>
      <c r="M280" s="7"/>
      <c r="N280" s="8"/>
      <c r="O280" s="8"/>
      <c r="P280" s="8"/>
      <c r="Q280" s="8"/>
      <c r="R280" s="8"/>
      <c r="S280" s="8" t="s">
        <v>63</v>
      </c>
      <c r="T280" s="7"/>
      <c r="U280" s="7"/>
      <c r="V280" s="7"/>
    </row>
    <row r="281" spans="2:22" ht="15.75" customHeight="1"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8"/>
      <c r="M281" s="7"/>
      <c r="N281" s="8"/>
      <c r="O281" s="8"/>
      <c r="P281" s="8"/>
      <c r="Q281" s="8"/>
      <c r="R281" s="8"/>
      <c r="S281" s="8" t="s">
        <v>63</v>
      </c>
      <c r="T281" s="7"/>
      <c r="U281" s="7"/>
      <c r="V281" s="7"/>
    </row>
    <row r="282" spans="2:22" ht="15.75" customHeight="1"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8"/>
      <c r="M282" s="7"/>
      <c r="N282" s="8"/>
      <c r="O282" s="8"/>
      <c r="P282" s="8"/>
      <c r="Q282" s="8"/>
      <c r="R282" s="8"/>
      <c r="S282" s="8" t="s">
        <v>63</v>
      </c>
      <c r="T282" s="7"/>
      <c r="U282" s="7"/>
      <c r="V282" s="7"/>
    </row>
    <row r="283" spans="2:22" ht="15.75" customHeight="1"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8"/>
      <c r="M283" s="7"/>
      <c r="N283" s="8"/>
      <c r="O283" s="8"/>
      <c r="P283" s="8"/>
      <c r="Q283" s="8"/>
      <c r="R283" s="8"/>
      <c r="S283" s="8" t="s">
        <v>63</v>
      </c>
      <c r="T283" s="7"/>
      <c r="U283" s="7"/>
      <c r="V283" s="7"/>
    </row>
    <row r="284" spans="2:22" ht="15.75" customHeight="1"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8"/>
      <c r="M284" s="7"/>
      <c r="N284" s="8"/>
      <c r="O284" s="8"/>
      <c r="P284" s="8"/>
      <c r="Q284" s="8"/>
      <c r="R284" s="8"/>
      <c r="S284" s="8" t="s">
        <v>63</v>
      </c>
      <c r="T284" s="7"/>
      <c r="U284" s="7"/>
      <c r="V284" s="7"/>
    </row>
    <row r="285" spans="2:22" ht="15.75" customHeight="1"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8"/>
      <c r="M285" s="7"/>
      <c r="N285" s="8"/>
      <c r="O285" s="8"/>
      <c r="P285" s="8"/>
      <c r="Q285" s="8"/>
      <c r="R285" s="8"/>
      <c r="S285" s="8" t="s">
        <v>63</v>
      </c>
      <c r="T285" s="7"/>
      <c r="U285" s="7"/>
      <c r="V285" s="7"/>
    </row>
    <row r="286" spans="2:22" ht="15.75" customHeight="1"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8"/>
      <c r="M286" s="7"/>
      <c r="N286" s="8"/>
      <c r="O286" s="8"/>
      <c r="P286" s="8"/>
      <c r="Q286" s="8"/>
      <c r="R286" s="8"/>
      <c r="S286" s="8" t="s">
        <v>63</v>
      </c>
      <c r="T286" s="7"/>
      <c r="U286" s="7"/>
      <c r="V286" s="7"/>
    </row>
    <row r="287" spans="2:22" ht="15.75" customHeight="1"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8"/>
      <c r="M287" s="7"/>
      <c r="N287" s="8"/>
      <c r="O287" s="8"/>
      <c r="P287" s="8"/>
      <c r="Q287" s="8"/>
      <c r="R287" s="8"/>
      <c r="S287" s="8" t="s">
        <v>63</v>
      </c>
      <c r="T287" s="7"/>
      <c r="U287" s="7"/>
      <c r="V287" s="7"/>
    </row>
    <row r="288" spans="2:22" ht="15.75" customHeight="1"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8"/>
      <c r="M288" s="7"/>
      <c r="N288" s="8"/>
      <c r="O288" s="8"/>
      <c r="P288" s="8"/>
      <c r="Q288" s="8"/>
      <c r="R288" s="8"/>
      <c r="S288" s="8" t="s">
        <v>63</v>
      </c>
      <c r="T288" s="7"/>
      <c r="U288" s="7"/>
      <c r="V288" s="7"/>
    </row>
    <row r="289" spans="2:22" ht="15.75" customHeight="1"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8"/>
      <c r="M289" s="7"/>
      <c r="N289" s="8"/>
      <c r="O289" s="8"/>
      <c r="P289" s="8"/>
      <c r="Q289" s="8"/>
      <c r="R289" s="8"/>
      <c r="S289" s="8" t="s">
        <v>63</v>
      </c>
      <c r="T289" s="7"/>
      <c r="U289" s="7"/>
      <c r="V289" s="7"/>
    </row>
    <row r="290" spans="2:22" ht="15.75" customHeight="1"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8"/>
      <c r="M290" s="7"/>
      <c r="N290" s="8"/>
      <c r="O290" s="8"/>
      <c r="P290" s="8"/>
      <c r="Q290" s="8"/>
      <c r="R290" s="8"/>
      <c r="S290" s="8" t="s">
        <v>63</v>
      </c>
      <c r="T290" s="7"/>
      <c r="U290" s="7"/>
      <c r="V290" s="7"/>
    </row>
    <row r="291" spans="2:22" ht="15.75" customHeight="1"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8"/>
      <c r="M291" s="7"/>
      <c r="N291" s="8"/>
      <c r="O291" s="8"/>
      <c r="P291" s="8"/>
      <c r="Q291" s="8"/>
      <c r="R291" s="8"/>
      <c r="S291" s="8" t="s">
        <v>63</v>
      </c>
      <c r="T291" s="7"/>
      <c r="U291" s="7"/>
      <c r="V291" s="7"/>
    </row>
    <row r="292" spans="2:22" ht="15.75" customHeight="1"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8"/>
      <c r="M292" s="7"/>
      <c r="N292" s="8"/>
      <c r="O292" s="8"/>
      <c r="P292" s="8"/>
      <c r="Q292" s="8"/>
      <c r="R292" s="8"/>
      <c r="S292" s="8" t="s">
        <v>63</v>
      </c>
      <c r="T292" s="7"/>
      <c r="U292" s="7"/>
      <c r="V292" s="7"/>
    </row>
    <row r="293" spans="2:22" ht="15.75" customHeight="1"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8"/>
      <c r="M293" s="7"/>
      <c r="N293" s="8"/>
      <c r="O293" s="8"/>
      <c r="P293" s="8"/>
      <c r="Q293" s="8"/>
      <c r="R293" s="8"/>
      <c r="S293" s="8" t="s">
        <v>63</v>
      </c>
      <c r="T293" s="7"/>
      <c r="U293" s="7"/>
      <c r="V293" s="7"/>
    </row>
    <row r="294" spans="2:22" ht="15.75" customHeight="1"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8"/>
      <c r="M294" s="7"/>
      <c r="N294" s="8"/>
      <c r="O294" s="8"/>
      <c r="P294" s="8"/>
      <c r="Q294" s="8"/>
      <c r="R294" s="8"/>
      <c r="S294" s="8" t="s">
        <v>63</v>
      </c>
      <c r="T294" s="7"/>
      <c r="U294" s="7"/>
      <c r="V294" s="7"/>
    </row>
    <row r="295" spans="2:22" ht="15.75" customHeight="1"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8"/>
      <c r="M295" s="7"/>
      <c r="N295" s="8"/>
      <c r="O295" s="8"/>
      <c r="P295" s="8"/>
      <c r="Q295" s="8"/>
      <c r="R295" s="8"/>
      <c r="S295" s="8" t="s">
        <v>63</v>
      </c>
      <c r="T295" s="7"/>
      <c r="U295" s="7"/>
      <c r="V295" s="7"/>
    </row>
    <row r="296" spans="2:22" ht="15.75" customHeight="1"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8"/>
      <c r="M296" s="7"/>
      <c r="N296" s="8"/>
      <c r="O296" s="8"/>
      <c r="P296" s="8"/>
      <c r="Q296" s="8"/>
      <c r="R296" s="8"/>
      <c r="S296" s="8" t="s">
        <v>63</v>
      </c>
      <c r="T296" s="7"/>
      <c r="U296" s="7"/>
      <c r="V296" s="7"/>
    </row>
    <row r="297" spans="2:22" ht="15.75" customHeight="1"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8"/>
      <c r="M297" s="7"/>
      <c r="N297" s="8"/>
      <c r="O297" s="8"/>
      <c r="P297" s="8"/>
      <c r="Q297" s="8"/>
      <c r="R297" s="8"/>
      <c r="S297" s="8" t="s">
        <v>63</v>
      </c>
      <c r="T297" s="7"/>
      <c r="U297" s="7"/>
      <c r="V297" s="7"/>
    </row>
    <row r="298" spans="2:22" ht="15.75" customHeight="1"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8"/>
      <c r="M298" s="7"/>
      <c r="N298" s="8"/>
      <c r="O298" s="8"/>
      <c r="P298" s="8"/>
      <c r="Q298" s="8"/>
      <c r="R298" s="8"/>
      <c r="S298" s="8" t="s">
        <v>63</v>
      </c>
      <c r="T298" s="7"/>
      <c r="U298" s="7"/>
      <c r="V298" s="7"/>
    </row>
    <row r="299" spans="2:22" ht="15.75" customHeight="1"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8"/>
      <c r="M299" s="7"/>
      <c r="N299" s="8"/>
      <c r="O299" s="8"/>
      <c r="P299" s="8"/>
      <c r="Q299" s="8"/>
      <c r="R299" s="8"/>
      <c r="S299" s="8" t="s">
        <v>63</v>
      </c>
      <c r="T299" s="7"/>
      <c r="U299" s="7"/>
      <c r="V299" s="7"/>
    </row>
    <row r="300" spans="2:22" ht="15.75" customHeight="1"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8"/>
      <c r="M300" s="7"/>
      <c r="N300" s="8"/>
      <c r="O300" s="8"/>
      <c r="P300" s="8"/>
      <c r="Q300" s="8"/>
      <c r="R300" s="8"/>
      <c r="S300" s="8" t="s">
        <v>63</v>
      </c>
      <c r="T300" s="7"/>
      <c r="U300" s="7"/>
      <c r="V300" s="7"/>
    </row>
    <row r="301" spans="2:22" ht="15.75" customHeight="1"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8"/>
      <c r="M301" s="7"/>
      <c r="N301" s="8"/>
      <c r="O301" s="8"/>
      <c r="P301" s="8"/>
      <c r="Q301" s="8"/>
      <c r="R301" s="8"/>
      <c r="S301" s="8" t="s">
        <v>63</v>
      </c>
      <c r="T301" s="7"/>
      <c r="U301" s="7"/>
      <c r="V301" s="7"/>
    </row>
    <row r="302" spans="2:22" ht="15.75" customHeight="1"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8"/>
      <c r="M302" s="7"/>
      <c r="N302" s="8"/>
      <c r="O302" s="8"/>
      <c r="P302" s="8"/>
      <c r="Q302" s="8"/>
      <c r="R302" s="8"/>
      <c r="S302" s="8" t="s">
        <v>63</v>
      </c>
      <c r="T302" s="7"/>
      <c r="U302" s="7"/>
      <c r="V302" s="7"/>
    </row>
    <row r="303" spans="2:22" ht="15.75" customHeight="1"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8"/>
      <c r="M303" s="7"/>
      <c r="N303" s="8"/>
      <c r="O303" s="8"/>
      <c r="P303" s="8"/>
      <c r="Q303" s="8"/>
      <c r="R303" s="8"/>
      <c r="S303" s="8" t="s">
        <v>63</v>
      </c>
      <c r="T303" s="7"/>
      <c r="U303" s="7"/>
      <c r="V303" s="7"/>
    </row>
    <row r="304" spans="2:22" ht="15.75" customHeight="1"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8"/>
      <c r="M304" s="7"/>
      <c r="N304" s="8"/>
      <c r="O304" s="8"/>
      <c r="P304" s="8"/>
      <c r="Q304" s="8"/>
      <c r="R304" s="8"/>
      <c r="S304" s="8" t="s">
        <v>63</v>
      </c>
      <c r="T304" s="7"/>
      <c r="U304" s="7"/>
      <c r="V304" s="7"/>
    </row>
    <row r="305" spans="2:22" ht="15.75" customHeight="1"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8"/>
      <c r="M305" s="7"/>
      <c r="N305" s="8"/>
      <c r="O305" s="8"/>
      <c r="P305" s="8"/>
      <c r="Q305" s="8"/>
      <c r="R305" s="8"/>
      <c r="S305" s="8" t="s">
        <v>63</v>
      </c>
      <c r="T305" s="7"/>
      <c r="U305" s="7"/>
      <c r="V305" s="7"/>
    </row>
    <row r="306" spans="2:22" ht="15.75" customHeight="1"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8"/>
      <c r="M306" s="7"/>
      <c r="N306" s="8"/>
      <c r="O306" s="8"/>
      <c r="P306" s="8"/>
      <c r="Q306" s="8"/>
      <c r="R306" s="8"/>
      <c r="S306" s="8" t="s">
        <v>63</v>
      </c>
      <c r="T306" s="7"/>
      <c r="U306" s="7"/>
      <c r="V306" s="7"/>
    </row>
    <row r="307" spans="2:22" ht="15.75" customHeight="1"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8"/>
      <c r="M307" s="7"/>
      <c r="N307" s="8"/>
      <c r="O307" s="8"/>
      <c r="P307" s="8"/>
      <c r="Q307" s="8"/>
      <c r="R307" s="8"/>
      <c r="S307" s="8" t="s">
        <v>63</v>
      </c>
      <c r="T307" s="7"/>
      <c r="U307" s="7"/>
      <c r="V307" s="7"/>
    </row>
    <row r="308" spans="2:22" ht="15.75" customHeight="1"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8"/>
      <c r="M308" s="7"/>
      <c r="N308" s="8"/>
      <c r="O308" s="8"/>
      <c r="P308" s="8"/>
      <c r="Q308" s="8"/>
      <c r="R308" s="8"/>
      <c r="S308" s="8" t="s">
        <v>63</v>
      </c>
      <c r="T308" s="7"/>
      <c r="U308" s="7"/>
      <c r="V308" s="7"/>
    </row>
    <row r="309" spans="2:22" ht="15.75" customHeight="1"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8"/>
      <c r="M309" s="7"/>
      <c r="N309" s="8"/>
      <c r="O309" s="8"/>
      <c r="P309" s="8"/>
      <c r="Q309" s="8"/>
      <c r="R309" s="8"/>
      <c r="S309" s="8" t="s">
        <v>63</v>
      </c>
      <c r="T309" s="7"/>
      <c r="U309" s="7"/>
      <c r="V309" s="7"/>
    </row>
    <row r="310" spans="2:22" ht="15.75" customHeight="1"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8"/>
      <c r="M310" s="7"/>
      <c r="N310" s="8"/>
      <c r="O310" s="8"/>
      <c r="P310" s="8"/>
      <c r="Q310" s="8"/>
      <c r="R310" s="8"/>
      <c r="S310" s="8" t="s">
        <v>63</v>
      </c>
      <c r="T310" s="7"/>
      <c r="U310" s="7"/>
      <c r="V310" s="7"/>
    </row>
    <row r="311" spans="2:22" ht="15.75" customHeight="1"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8"/>
      <c r="M311" s="7"/>
      <c r="N311" s="8"/>
      <c r="O311" s="8"/>
      <c r="P311" s="8"/>
      <c r="Q311" s="8"/>
      <c r="R311" s="8"/>
      <c r="S311" s="8" t="s">
        <v>63</v>
      </c>
      <c r="T311" s="7"/>
      <c r="U311" s="7"/>
      <c r="V311" s="7"/>
    </row>
    <row r="312" spans="2:22" ht="15.75" customHeight="1"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8"/>
      <c r="M312" s="7"/>
      <c r="N312" s="8"/>
      <c r="O312" s="8"/>
      <c r="P312" s="8"/>
      <c r="Q312" s="8"/>
      <c r="R312" s="8"/>
      <c r="S312" s="8" t="s">
        <v>63</v>
      </c>
      <c r="T312" s="7"/>
      <c r="U312" s="7"/>
      <c r="V312" s="7"/>
    </row>
    <row r="313" spans="2:22" ht="15.75" customHeight="1"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8"/>
      <c r="M313" s="7"/>
      <c r="N313" s="8"/>
      <c r="O313" s="8"/>
      <c r="P313" s="8"/>
      <c r="Q313" s="8"/>
      <c r="R313" s="8"/>
      <c r="S313" s="8" t="s">
        <v>63</v>
      </c>
      <c r="T313" s="7"/>
      <c r="U313" s="7"/>
      <c r="V313" s="7"/>
    </row>
    <row r="314" spans="2:22" ht="15.75" customHeight="1"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8"/>
      <c r="M314" s="7"/>
      <c r="N314" s="8"/>
      <c r="O314" s="8"/>
      <c r="P314" s="8"/>
      <c r="Q314" s="8"/>
      <c r="R314" s="8"/>
      <c r="S314" s="8" t="s">
        <v>63</v>
      </c>
      <c r="T314" s="7"/>
      <c r="U314" s="7"/>
      <c r="V314" s="7"/>
    </row>
    <row r="315" spans="2:22" ht="15.75" customHeight="1"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8"/>
      <c r="M315" s="7"/>
      <c r="N315" s="8"/>
      <c r="O315" s="8"/>
      <c r="P315" s="8"/>
      <c r="Q315" s="8"/>
      <c r="R315" s="8"/>
      <c r="S315" s="8" t="s">
        <v>63</v>
      </c>
      <c r="T315" s="7"/>
      <c r="U315" s="7"/>
      <c r="V315" s="7"/>
    </row>
    <row r="316" spans="2:22" ht="15.75" customHeight="1"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8"/>
      <c r="M316" s="7"/>
      <c r="N316" s="8"/>
      <c r="O316" s="8"/>
      <c r="P316" s="8"/>
      <c r="Q316" s="8"/>
      <c r="R316" s="8"/>
      <c r="S316" s="8" t="s">
        <v>63</v>
      </c>
      <c r="T316" s="7"/>
      <c r="U316" s="7"/>
      <c r="V316" s="7"/>
    </row>
    <row r="317" spans="2:22" ht="15.75" customHeight="1"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8"/>
      <c r="M317" s="7"/>
      <c r="N317" s="8"/>
      <c r="O317" s="8"/>
      <c r="P317" s="8"/>
      <c r="Q317" s="8"/>
      <c r="R317" s="8"/>
      <c r="S317" s="8" t="s">
        <v>63</v>
      </c>
      <c r="T317" s="7"/>
      <c r="U317" s="7"/>
      <c r="V317" s="7"/>
    </row>
    <row r="318" spans="2:22" ht="15.75" customHeight="1"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8"/>
      <c r="M318" s="7"/>
      <c r="N318" s="8"/>
      <c r="O318" s="8"/>
      <c r="P318" s="8"/>
      <c r="Q318" s="8"/>
      <c r="R318" s="8"/>
      <c r="S318" s="8" t="s">
        <v>63</v>
      </c>
      <c r="T318" s="7"/>
      <c r="U318" s="7"/>
      <c r="V318" s="7"/>
    </row>
    <row r="319" spans="2:22" ht="15.75" customHeight="1"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8"/>
      <c r="M319" s="7"/>
      <c r="N319" s="8"/>
      <c r="O319" s="8"/>
      <c r="P319" s="8"/>
      <c r="Q319" s="8"/>
      <c r="R319" s="8"/>
      <c r="S319" s="8" t="s">
        <v>63</v>
      </c>
      <c r="T319" s="7"/>
      <c r="U319" s="7"/>
      <c r="V319" s="7"/>
    </row>
    <row r="320" spans="2:22" ht="15.75" customHeight="1"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8"/>
      <c r="M320" s="7"/>
      <c r="N320" s="8"/>
      <c r="O320" s="8"/>
      <c r="P320" s="8"/>
      <c r="Q320" s="8"/>
      <c r="R320" s="8"/>
      <c r="S320" s="8" t="s">
        <v>63</v>
      </c>
      <c r="T320" s="7"/>
      <c r="U320" s="7"/>
      <c r="V320" s="7"/>
    </row>
    <row r="321" spans="2:22" ht="15.75" customHeight="1"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8"/>
      <c r="M321" s="7"/>
      <c r="N321" s="8"/>
      <c r="O321" s="8"/>
      <c r="P321" s="8"/>
      <c r="Q321" s="8"/>
      <c r="R321" s="8"/>
      <c r="S321" s="8" t="s">
        <v>63</v>
      </c>
      <c r="T321" s="7"/>
      <c r="U321" s="7"/>
      <c r="V321" s="7"/>
    </row>
    <row r="322" spans="2:22" ht="15.75" customHeight="1"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8"/>
      <c r="M322" s="7"/>
      <c r="N322" s="8"/>
      <c r="O322" s="8"/>
      <c r="P322" s="8"/>
      <c r="Q322" s="8"/>
      <c r="R322" s="8"/>
      <c r="S322" s="8" t="s">
        <v>63</v>
      </c>
      <c r="T322" s="7"/>
      <c r="U322" s="7"/>
      <c r="V322" s="7"/>
    </row>
    <row r="323" spans="2:22" ht="15.75" customHeight="1"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8"/>
      <c r="M323" s="7"/>
      <c r="N323" s="8"/>
      <c r="O323" s="8"/>
      <c r="P323" s="8"/>
      <c r="Q323" s="8"/>
      <c r="R323" s="8"/>
      <c r="S323" s="8" t="s">
        <v>63</v>
      </c>
      <c r="T323" s="7"/>
      <c r="U323" s="7"/>
      <c r="V323" s="7"/>
    </row>
    <row r="324" spans="2:22" ht="15.75" customHeight="1"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8"/>
      <c r="M324" s="7"/>
      <c r="N324" s="8"/>
      <c r="O324" s="8"/>
      <c r="P324" s="8"/>
      <c r="Q324" s="8"/>
      <c r="R324" s="8"/>
      <c r="S324" s="8" t="s">
        <v>63</v>
      </c>
      <c r="T324" s="7"/>
      <c r="U324" s="7"/>
      <c r="V324" s="7"/>
    </row>
    <row r="325" spans="2:22" ht="15.75" customHeight="1"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8"/>
      <c r="M325" s="7"/>
      <c r="N325" s="8"/>
      <c r="O325" s="8"/>
      <c r="P325" s="8"/>
      <c r="Q325" s="8"/>
      <c r="R325" s="8"/>
      <c r="S325" s="8" t="s">
        <v>63</v>
      </c>
      <c r="T325" s="7"/>
      <c r="U325" s="7"/>
      <c r="V325" s="7"/>
    </row>
    <row r="326" spans="2:22" ht="15.75" customHeight="1"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8"/>
      <c r="M326" s="7"/>
      <c r="N326" s="8"/>
      <c r="O326" s="8"/>
      <c r="P326" s="8"/>
      <c r="Q326" s="8"/>
      <c r="R326" s="8"/>
      <c r="S326" s="8" t="s">
        <v>63</v>
      </c>
      <c r="T326" s="7"/>
      <c r="U326" s="7"/>
      <c r="V326" s="7"/>
    </row>
    <row r="327" spans="2:22" ht="15.75" customHeight="1"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8"/>
      <c r="M327" s="7"/>
      <c r="N327" s="8"/>
      <c r="O327" s="8"/>
      <c r="P327" s="8"/>
      <c r="Q327" s="8"/>
      <c r="R327" s="8"/>
      <c r="S327" s="8" t="s">
        <v>63</v>
      </c>
      <c r="T327" s="7"/>
      <c r="U327" s="7"/>
      <c r="V327" s="7"/>
    </row>
    <row r="328" spans="2:22" ht="15.75" customHeight="1"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8"/>
      <c r="M328" s="7"/>
      <c r="N328" s="8"/>
      <c r="O328" s="8"/>
      <c r="P328" s="8"/>
      <c r="Q328" s="8"/>
      <c r="R328" s="8"/>
      <c r="S328" s="8" t="s">
        <v>63</v>
      </c>
      <c r="T328" s="7"/>
      <c r="U328" s="7"/>
      <c r="V328" s="7"/>
    </row>
    <row r="329" spans="2:22" ht="15.75" customHeight="1"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8"/>
      <c r="M329" s="7"/>
      <c r="N329" s="8"/>
      <c r="O329" s="8"/>
      <c r="P329" s="8"/>
      <c r="Q329" s="8"/>
      <c r="R329" s="8"/>
      <c r="S329" s="8" t="s">
        <v>63</v>
      </c>
      <c r="T329" s="7"/>
      <c r="U329" s="7"/>
      <c r="V329" s="7"/>
    </row>
    <row r="330" spans="2:22" ht="15.75" customHeight="1"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8"/>
      <c r="M330" s="7"/>
      <c r="N330" s="8"/>
      <c r="O330" s="8"/>
      <c r="P330" s="8"/>
      <c r="Q330" s="8"/>
      <c r="R330" s="8"/>
      <c r="S330" s="8" t="s">
        <v>63</v>
      </c>
      <c r="T330" s="7"/>
      <c r="U330" s="7"/>
      <c r="V330" s="7"/>
    </row>
    <row r="331" spans="2:22" ht="15.75" customHeight="1"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8"/>
      <c r="M331" s="7"/>
      <c r="N331" s="8"/>
      <c r="O331" s="8"/>
      <c r="P331" s="8"/>
      <c r="Q331" s="8"/>
      <c r="R331" s="8"/>
      <c r="S331" s="8" t="s">
        <v>63</v>
      </c>
      <c r="T331" s="7"/>
      <c r="U331" s="7"/>
      <c r="V331" s="7"/>
    </row>
    <row r="332" spans="2:22" ht="15.75" customHeight="1"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8"/>
      <c r="M332" s="7"/>
      <c r="N332" s="8"/>
      <c r="O332" s="8"/>
      <c r="P332" s="8"/>
      <c r="Q332" s="8"/>
      <c r="R332" s="8"/>
      <c r="S332" s="8" t="s">
        <v>63</v>
      </c>
      <c r="T332" s="7"/>
      <c r="U332" s="7"/>
      <c r="V332" s="7"/>
    </row>
    <row r="333" spans="2:22" ht="15.75" customHeight="1"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8"/>
      <c r="M333" s="7"/>
      <c r="N333" s="8"/>
      <c r="O333" s="8"/>
      <c r="P333" s="8"/>
      <c r="Q333" s="8"/>
      <c r="R333" s="8"/>
      <c r="S333" s="8" t="s">
        <v>63</v>
      </c>
      <c r="T333" s="7"/>
      <c r="U333" s="7"/>
      <c r="V333" s="7"/>
    </row>
    <row r="334" spans="2:22" ht="15.75" customHeight="1"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8"/>
      <c r="M334" s="7"/>
      <c r="N334" s="8"/>
      <c r="O334" s="8"/>
      <c r="P334" s="8"/>
      <c r="Q334" s="8"/>
      <c r="R334" s="8"/>
      <c r="S334" s="8" t="s">
        <v>63</v>
      </c>
      <c r="T334" s="7"/>
      <c r="U334" s="7"/>
      <c r="V334" s="7"/>
    </row>
    <row r="335" spans="2:22" ht="15.75" customHeight="1"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8"/>
      <c r="M335" s="7"/>
      <c r="N335" s="8"/>
      <c r="O335" s="8"/>
      <c r="P335" s="8"/>
      <c r="Q335" s="8"/>
      <c r="R335" s="8"/>
      <c r="S335" s="8" t="s">
        <v>63</v>
      </c>
      <c r="T335" s="7"/>
      <c r="U335" s="7"/>
      <c r="V335" s="7"/>
    </row>
    <row r="336" spans="2:22" ht="15.75" customHeight="1"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8"/>
      <c r="M336" s="7"/>
      <c r="N336" s="8"/>
      <c r="O336" s="8"/>
      <c r="P336" s="8"/>
      <c r="Q336" s="8"/>
      <c r="R336" s="8"/>
      <c r="S336" s="8" t="s">
        <v>63</v>
      </c>
      <c r="T336" s="7"/>
      <c r="U336" s="7"/>
      <c r="V336" s="7"/>
    </row>
    <row r="337" spans="2:22" ht="15.75" customHeight="1"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8"/>
      <c r="M337" s="7"/>
      <c r="N337" s="8"/>
      <c r="O337" s="8"/>
      <c r="P337" s="8"/>
      <c r="Q337" s="8"/>
      <c r="R337" s="8"/>
      <c r="S337" s="8" t="s">
        <v>63</v>
      </c>
      <c r="T337" s="7"/>
      <c r="U337" s="7"/>
      <c r="V337" s="7"/>
    </row>
    <row r="338" spans="2:22" ht="15.75" customHeight="1"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8"/>
      <c r="M338" s="7"/>
      <c r="N338" s="8"/>
      <c r="O338" s="8"/>
      <c r="P338" s="8"/>
      <c r="Q338" s="8"/>
      <c r="R338" s="8"/>
      <c r="S338" s="8" t="s">
        <v>63</v>
      </c>
      <c r="T338" s="7"/>
      <c r="U338" s="7"/>
      <c r="V338" s="7"/>
    </row>
    <row r="339" spans="2:22" ht="15.75" customHeight="1"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8"/>
      <c r="M339" s="7"/>
      <c r="N339" s="8"/>
      <c r="O339" s="8"/>
      <c r="P339" s="8"/>
      <c r="Q339" s="8"/>
      <c r="R339" s="8"/>
      <c r="S339" s="8" t="s">
        <v>63</v>
      </c>
      <c r="T339" s="7"/>
      <c r="U339" s="7"/>
      <c r="V339" s="7"/>
    </row>
    <row r="340" spans="2:22" ht="15.75" customHeight="1"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8"/>
      <c r="M340" s="7"/>
      <c r="N340" s="8"/>
      <c r="O340" s="8"/>
      <c r="P340" s="8"/>
      <c r="Q340" s="8"/>
      <c r="R340" s="8"/>
      <c r="S340" s="8" t="s">
        <v>63</v>
      </c>
      <c r="T340" s="7"/>
      <c r="U340" s="7"/>
      <c r="V340" s="7"/>
    </row>
    <row r="341" spans="2:22" ht="15.75" customHeight="1"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8"/>
      <c r="M341" s="7"/>
      <c r="N341" s="8"/>
      <c r="O341" s="8"/>
      <c r="P341" s="8"/>
      <c r="Q341" s="8"/>
      <c r="R341" s="8"/>
      <c r="S341" s="8" t="s">
        <v>63</v>
      </c>
      <c r="T341" s="7"/>
      <c r="U341" s="7"/>
      <c r="V341" s="7"/>
    </row>
    <row r="342" spans="2:22" ht="15.75" customHeight="1"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8"/>
      <c r="M342" s="7"/>
      <c r="N342" s="8"/>
      <c r="O342" s="8"/>
      <c r="P342" s="8"/>
      <c r="Q342" s="8"/>
      <c r="R342" s="8"/>
      <c r="S342" s="8" t="s">
        <v>63</v>
      </c>
      <c r="T342" s="7"/>
      <c r="U342" s="7"/>
      <c r="V342" s="7"/>
    </row>
    <row r="343" spans="2:22" ht="15.75" customHeight="1"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8"/>
      <c r="M343" s="7"/>
      <c r="N343" s="8"/>
      <c r="O343" s="8"/>
      <c r="P343" s="8"/>
      <c r="Q343" s="8"/>
      <c r="R343" s="8"/>
      <c r="S343" s="8" t="s">
        <v>63</v>
      </c>
      <c r="T343" s="7"/>
      <c r="U343" s="7"/>
      <c r="V343" s="7"/>
    </row>
    <row r="344" spans="2:22" ht="15.75" customHeight="1"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8"/>
      <c r="M344" s="7"/>
      <c r="N344" s="8"/>
      <c r="O344" s="8"/>
      <c r="P344" s="8"/>
      <c r="Q344" s="8"/>
      <c r="R344" s="8"/>
      <c r="S344" s="8" t="s">
        <v>63</v>
      </c>
      <c r="T344" s="7"/>
      <c r="U344" s="7"/>
      <c r="V344" s="7"/>
    </row>
    <row r="345" spans="2:22" ht="15.75" customHeight="1"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8"/>
      <c r="M345" s="7"/>
      <c r="N345" s="8"/>
      <c r="O345" s="8"/>
      <c r="P345" s="8"/>
      <c r="Q345" s="8"/>
      <c r="R345" s="8"/>
      <c r="S345" s="8" t="s">
        <v>63</v>
      </c>
      <c r="T345" s="7"/>
      <c r="U345" s="7"/>
      <c r="V345" s="7"/>
    </row>
    <row r="346" spans="2:22" ht="15.75" customHeight="1"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8"/>
      <c r="M346" s="7"/>
      <c r="N346" s="8"/>
      <c r="O346" s="8"/>
      <c r="P346" s="8"/>
      <c r="Q346" s="8"/>
      <c r="R346" s="8"/>
      <c r="S346" s="8" t="s">
        <v>63</v>
      </c>
      <c r="T346" s="7"/>
      <c r="U346" s="7"/>
      <c r="V346" s="7"/>
    </row>
    <row r="347" spans="2:22" ht="15.75" customHeight="1"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8"/>
      <c r="M347" s="7"/>
      <c r="N347" s="8"/>
      <c r="O347" s="8"/>
      <c r="P347" s="8"/>
      <c r="Q347" s="8"/>
      <c r="R347" s="8"/>
      <c r="S347" s="8" t="s">
        <v>63</v>
      </c>
      <c r="T347" s="7"/>
      <c r="U347" s="7"/>
      <c r="V347" s="7"/>
    </row>
    <row r="348" spans="2:22" ht="15.75" customHeight="1"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8"/>
      <c r="M348" s="7"/>
      <c r="N348" s="8"/>
      <c r="O348" s="8"/>
      <c r="P348" s="8"/>
      <c r="Q348" s="8"/>
      <c r="R348" s="8"/>
      <c r="S348" s="8" t="s">
        <v>63</v>
      </c>
      <c r="T348" s="7"/>
      <c r="U348" s="7"/>
      <c r="V348" s="7"/>
    </row>
    <row r="349" spans="2:22" ht="15.75" customHeight="1"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8"/>
      <c r="M349" s="7"/>
      <c r="N349" s="8"/>
      <c r="O349" s="8"/>
      <c r="P349" s="8"/>
      <c r="Q349" s="8"/>
      <c r="R349" s="8"/>
      <c r="S349" s="8" t="s">
        <v>63</v>
      </c>
      <c r="T349" s="7"/>
      <c r="U349" s="7"/>
      <c r="V349" s="7"/>
    </row>
    <row r="350" spans="2:22" ht="15.75" customHeight="1"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8"/>
      <c r="M350" s="7"/>
      <c r="N350" s="8"/>
      <c r="O350" s="8"/>
      <c r="P350" s="8"/>
      <c r="Q350" s="8"/>
      <c r="R350" s="8"/>
      <c r="S350" s="8" t="s">
        <v>63</v>
      </c>
      <c r="T350" s="7"/>
      <c r="U350" s="7"/>
      <c r="V350" s="7"/>
    </row>
    <row r="351" spans="2:22" ht="15.75" customHeight="1"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8"/>
      <c r="M351" s="7"/>
      <c r="N351" s="8"/>
      <c r="O351" s="8"/>
      <c r="P351" s="8"/>
      <c r="Q351" s="8"/>
      <c r="R351" s="8"/>
      <c r="S351" s="8" t="s">
        <v>63</v>
      </c>
      <c r="T351" s="7"/>
      <c r="U351" s="7"/>
      <c r="V351" s="7"/>
    </row>
    <row r="352" spans="2:22" ht="15.75" customHeight="1"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8"/>
      <c r="M352" s="7"/>
      <c r="N352" s="8"/>
      <c r="O352" s="8"/>
      <c r="P352" s="8"/>
      <c r="Q352" s="8"/>
      <c r="R352" s="8"/>
      <c r="S352" s="8" t="s">
        <v>63</v>
      </c>
      <c r="T352" s="7"/>
      <c r="U352" s="7"/>
      <c r="V352" s="7"/>
    </row>
    <row r="353" spans="2:22" ht="15.75" customHeight="1"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8"/>
      <c r="M353" s="7"/>
      <c r="N353" s="8"/>
      <c r="O353" s="8"/>
      <c r="P353" s="8"/>
      <c r="Q353" s="8"/>
      <c r="R353" s="8"/>
      <c r="S353" s="8" t="s">
        <v>63</v>
      </c>
      <c r="T353" s="7"/>
      <c r="U353" s="7"/>
      <c r="V353" s="7"/>
    </row>
    <row r="354" spans="2:22" ht="15.75" customHeight="1"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8"/>
      <c r="M354" s="7"/>
      <c r="N354" s="8"/>
      <c r="O354" s="8"/>
      <c r="P354" s="8"/>
      <c r="Q354" s="8"/>
      <c r="R354" s="8"/>
      <c r="S354" s="8" t="s">
        <v>63</v>
      </c>
      <c r="T354" s="7"/>
      <c r="U354" s="7"/>
      <c r="V354" s="7"/>
    </row>
    <row r="355" spans="2:22" ht="15.75" customHeight="1"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8"/>
      <c r="M355" s="7"/>
      <c r="N355" s="8"/>
      <c r="O355" s="8"/>
      <c r="P355" s="8"/>
      <c r="Q355" s="8"/>
      <c r="R355" s="8"/>
      <c r="S355" s="8" t="s">
        <v>63</v>
      </c>
      <c r="T355" s="7"/>
      <c r="U355" s="7"/>
      <c r="V355" s="7"/>
    </row>
    <row r="356" spans="2:22" ht="15.75" customHeight="1"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8"/>
      <c r="M356" s="7"/>
      <c r="N356" s="8"/>
      <c r="O356" s="8"/>
      <c r="P356" s="8"/>
      <c r="Q356" s="8"/>
      <c r="R356" s="8"/>
      <c r="S356" s="8" t="s">
        <v>63</v>
      </c>
      <c r="T356" s="7"/>
      <c r="U356" s="7"/>
      <c r="V356" s="7"/>
    </row>
    <row r="357" spans="2:22" ht="15.75" customHeight="1"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8"/>
      <c r="M357" s="7"/>
      <c r="N357" s="8"/>
      <c r="O357" s="8"/>
      <c r="P357" s="8"/>
      <c r="Q357" s="8"/>
      <c r="R357" s="8"/>
      <c r="S357" s="8" t="s">
        <v>63</v>
      </c>
      <c r="T357" s="7"/>
      <c r="U357" s="7"/>
      <c r="V357" s="7"/>
    </row>
    <row r="358" spans="2:22" ht="15.75" customHeight="1"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8"/>
      <c r="M358" s="7"/>
      <c r="N358" s="8"/>
      <c r="O358" s="8"/>
      <c r="P358" s="8"/>
      <c r="Q358" s="8"/>
      <c r="R358" s="8"/>
      <c r="S358" s="8" t="s">
        <v>63</v>
      </c>
      <c r="T358" s="7"/>
      <c r="U358" s="7"/>
      <c r="V358" s="7"/>
    </row>
    <row r="359" spans="2:22" ht="15.75" customHeight="1"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8"/>
      <c r="M359" s="7"/>
      <c r="N359" s="8"/>
      <c r="O359" s="8"/>
      <c r="P359" s="8"/>
      <c r="Q359" s="8"/>
      <c r="R359" s="8"/>
      <c r="S359" s="8" t="s">
        <v>63</v>
      </c>
      <c r="T359" s="7"/>
      <c r="U359" s="7"/>
      <c r="V359" s="7"/>
    </row>
    <row r="360" spans="2:22" ht="15.75" customHeight="1"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8"/>
      <c r="M360" s="7"/>
      <c r="N360" s="8"/>
      <c r="O360" s="8"/>
      <c r="P360" s="8"/>
      <c r="Q360" s="8"/>
      <c r="R360" s="8"/>
      <c r="S360" s="8" t="s">
        <v>63</v>
      </c>
      <c r="T360" s="7"/>
      <c r="U360" s="7"/>
      <c r="V360" s="7"/>
    </row>
    <row r="361" spans="2:22" ht="15.75" customHeight="1"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8"/>
      <c r="M361" s="7"/>
      <c r="N361" s="8"/>
      <c r="O361" s="8"/>
      <c r="P361" s="8"/>
      <c r="Q361" s="8"/>
      <c r="R361" s="8"/>
      <c r="S361" s="8" t="s">
        <v>63</v>
      </c>
      <c r="T361" s="7"/>
      <c r="U361" s="7"/>
      <c r="V361" s="7"/>
    </row>
    <row r="362" spans="2:22" ht="15.75" customHeight="1"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8"/>
      <c r="M362" s="7"/>
      <c r="N362" s="8"/>
      <c r="O362" s="8"/>
      <c r="P362" s="8"/>
      <c r="Q362" s="8"/>
      <c r="R362" s="8"/>
      <c r="S362" s="8" t="s">
        <v>63</v>
      </c>
      <c r="T362" s="7"/>
      <c r="U362" s="7"/>
      <c r="V362" s="7"/>
    </row>
    <row r="363" spans="2:22" ht="15.75" customHeight="1"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8"/>
      <c r="M363" s="7"/>
      <c r="N363" s="8"/>
      <c r="O363" s="8"/>
      <c r="P363" s="8"/>
      <c r="Q363" s="8"/>
      <c r="R363" s="8"/>
      <c r="S363" s="8" t="s">
        <v>63</v>
      </c>
      <c r="T363" s="7"/>
      <c r="U363" s="7"/>
      <c r="V363" s="7"/>
    </row>
    <row r="364" spans="2:22" ht="15.75" customHeight="1"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8"/>
      <c r="M364" s="7"/>
      <c r="N364" s="8"/>
      <c r="O364" s="8"/>
      <c r="P364" s="8"/>
      <c r="Q364" s="8"/>
      <c r="R364" s="8"/>
      <c r="S364" s="8" t="s">
        <v>63</v>
      </c>
      <c r="T364" s="7"/>
      <c r="U364" s="7"/>
      <c r="V364" s="7"/>
    </row>
    <row r="365" spans="2:22" ht="15.75" customHeight="1"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8"/>
      <c r="M365" s="7"/>
      <c r="N365" s="8"/>
      <c r="O365" s="8"/>
      <c r="P365" s="8"/>
      <c r="Q365" s="8"/>
      <c r="R365" s="8"/>
      <c r="S365" s="8" t="s">
        <v>63</v>
      </c>
      <c r="T365" s="7"/>
      <c r="U365" s="7"/>
      <c r="V365" s="7"/>
    </row>
    <row r="366" spans="2:22" ht="15.75" customHeight="1"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8"/>
      <c r="M366" s="7"/>
      <c r="N366" s="8"/>
      <c r="O366" s="8"/>
      <c r="P366" s="8"/>
      <c r="Q366" s="8"/>
      <c r="R366" s="8"/>
      <c r="S366" s="8" t="s">
        <v>63</v>
      </c>
      <c r="T366" s="7"/>
      <c r="U366" s="7"/>
      <c r="V366" s="7"/>
    </row>
    <row r="367" spans="2:22" ht="15.75" customHeight="1"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8"/>
      <c r="M367" s="7"/>
      <c r="N367" s="8"/>
      <c r="O367" s="8"/>
      <c r="P367" s="8"/>
      <c r="Q367" s="8"/>
      <c r="R367" s="8"/>
      <c r="S367" s="8" t="s">
        <v>63</v>
      </c>
      <c r="T367" s="7"/>
      <c r="U367" s="7"/>
      <c r="V367" s="7"/>
    </row>
    <row r="368" spans="2:22" ht="15.75" customHeight="1"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8"/>
      <c r="M368" s="7"/>
      <c r="N368" s="8"/>
      <c r="O368" s="8"/>
      <c r="P368" s="8"/>
      <c r="Q368" s="8"/>
      <c r="R368" s="8"/>
      <c r="S368" s="8" t="s">
        <v>63</v>
      </c>
      <c r="T368" s="7"/>
      <c r="U368" s="7"/>
      <c r="V368" s="7"/>
    </row>
    <row r="369" spans="2:22" ht="15.75" customHeight="1"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8"/>
      <c r="M369" s="7"/>
      <c r="N369" s="8"/>
      <c r="O369" s="8"/>
      <c r="P369" s="8"/>
      <c r="Q369" s="8"/>
      <c r="R369" s="8"/>
      <c r="S369" s="8" t="s">
        <v>63</v>
      </c>
      <c r="T369" s="7"/>
      <c r="U369" s="7"/>
      <c r="V369" s="7"/>
    </row>
    <row r="370" spans="2:22" ht="15.75" customHeight="1"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8"/>
      <c r="M370" s="7"/>
      <c r="N370" s="8"/>
      <c r="O370" s="8"/>
      <c r="P370" s="8"/>
      <c r="Q370" s="8"/>
      <c r="R370" s="8"/>
      <c r="S370" s="8" t="s">
        <v>63</v>
      </c>
      <c r="T370" s="7"/>
      <c r="U370" s="7"/>
      <c r="V370" s="7"/>
    </row>
    <row r="371" spans="2:22" ht="15.75" customHeight="1"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8"/>
      <c r="M371" s="7"/>
      <c r="N371" s="8"/>
      <c r="O371" s="8"/>
      <c r="P371" s="8"/>
      <c r="Q371" s="8"/>
      <c r="R371" s="8"/>
      <c r="S371" s="8" t="s">
        <v>63</v>
      </c>
      <c r="T371" s="7"/>
      <c r="U371" s="7"/>
      <c r="V371" s="7"/>
    </row>
    <row r="372" spans="2:22" ht="15.75" customHeight="1"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8"/>
      <c r="M372" s="7"/>
      <c r="N372" s="8"/>
      <c r="O372" s="8"/>
      <c r="P372" s="8"/>
      <c r="Q372" s="8"/>
      <c r="R372" s="8"/>
      <c r="S372" s="8" t="s">
        <v>63</v>
      </c>
      <c r="T372" s="7"/>
      <c r="U372" s="7"/>
      <c r="V372" s="7"/>
    </row>
    <row r="373" spans="2:22" ht="15.75" customHeight="1"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8"/>
      <c r="M373" s="7"/>
      <c r="N373" s="8"/>
      <c r="O373" s="8"/>
      <c r="P373" s="8"/>
      <c r="Q373" s="8"/>
      <c r="R373" s="8"/>
      <c r="S373" s="8" t="s">
        <v>63</v>
      </c>
      <c r="T373" s="7"/>
      <c r="U373" s="7"/>
      <c r="V373" s="7"/>
    </row>
    <row r="374" spans="2:22" ht="15.75" customHeight="1"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8"/>
      <c r="M374" s="7"/>
      <c r="N374" s="8"/>
      <c r="O374" s="8"/>
      <c r="P374" s="8"/>
      <c r="Q374" s="8"/>
      <c r="R374" s="8"/>
      <c r="S374" s="8" t="s">
        <v>63</v>
      </c>
      <c r="T374" s="7"/>
      <c r="U374" s="7"/>
      <c r="V374" s="7"/>
    </row>
    <row r="375" spans="2:22" ht="15.75" customHeight="1"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8"/>
      <c r="M375" s="7"/>
      <c r="N375" s="8"/>
      <c r="O375" s="8"/>
      <c r="P375" s="8"/>
      <c r="Q375" s="8"/>
      <c r="R375" s="8"/>
      <c r="S375" s="8" t="s">
        <v>63</v>
      </c>
      <c r="T375" s="7"/>
      <c r="U375" s="7"/>
      <c r="V375" s="7"/>
    </row>
    <row r="376" spans="2:22" ht="15.75" customHeight="1"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8"/>
      <c r="M376" s="7"/>
      <c r="N376" s="8"/>
      <c r="O376" s="8"/>
      <c r="P376" s="8"/>
      <c r="Q376" s="8"/>
      <c r="R376" s="8"/>
      <c r="S376" s="8" t="s">
        <v>63</v>
      </c>
      <c r="T376" s="7"/>
      <c r="U376" s="7"/>
      <c r="V376" s="7"/>
    </row>
    <row r="377" spans="2:22" ht="15.75" customHeight="1"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8"/>
      <c r="M377" s="7"/>
      <c r="N377" s="8"/>
      <c r="O377" s="8"/>
      <c r="P377" s="8"/>
      <c r="Q377" s="8"/>
      <c r="R377" s="8"/>
      <c r="S377" s="8" t="s">
        <v>63</v>
      </c>
      <c r="T377" s="7"/>
      <c r="U377" s="7"/>
      <c r="V377" s="7"/>
    </row>
    <row r="378" spans="2:22" ht="15.75" customHeight="1"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8"/>
      <c r="M378" s="7"/>
      <c r="N378" s="8"/>
      <c r="O378" s="8"/>
      <c r="P378" s="8"/>
      <c r="Q378" s="8"/>
      <c r="R378" s="8"/>
      <c r="S378" s="8" t="s">
        <v>63</v>
      </c>
      <c r="T378" s="7"/>
      <c r="U378" s="7"/>
      <c r="V378" s="7"/>
    </row>
    <row r="379" spans="2:22" ht="15.75" customHeight="1"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8"/>
      <c r="M379" s="7"/>
      <c r="N379" s="8"/>
      <c r="O379" s="8"/>
      <c r="P379" s="8"/>
      <c r="Q379" s="8"/>
      <c r="R379" s="8"/>
      <c r="S379" s="8" t="s">
        <v>63</v>
      </c>
      <c r="T379" s="7"/>
      <c r="U379" s="7"/>
      <c r="V379" s="7"/>
    </row>
    <row r="380" spans="2:22" ht="15.75" customHeight="1"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8"/>
      <c r="M380" s="7"/>
      <c r="N380" s="8"/>
      <c r="O380" s="8"/>
      <c r="P380" s="8"/>
      <c r="Q380" s="8"/>
      <c r="R380" s="8"/>
      <c r="S380" s="8" t="s">
        <v>63</v>
      </c>
      <c r="T380" s="7"/>
      <c r="U380" s="7"/>
      <c r="V380" s="7"/>
    </row>
    <row r="381" spans="2:22" ht="15.75" customHeight="1"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8"/>
      <c r="M381" s="7"/>
      <c r="N381" s="8"/>
      <c r="O381" s="8"/>
      <c r="P381" s="8"/>
      <c r="Q381" s="8"/>
      <c r="R381" s="8"/>
      <c r="S381" s="8" t="s">
        <v>63</v>
      </c>
      <c r="T381" s="7"/>
      <c r="U381" s="7"/>
      <c r="V381" s="7"/>
    </row>
    <row r="382" spans="2:22" ht="15.75" customHeight="1"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8"/>
      <c r="M382" s="7"/>
      <c r="N382" s="8"/>
      <c r="O382" s="8"/>
      <c r="P382" s="8"/>
      <c r="Q382" s="8"/>
      <c r="R382" s="8"/>
      <c r="S382" s="8" t="s">
        <v>63</v>
      </c>
      <c r="T382" s="7"/>
      <c r="U382" s="7"/>
      <c r="V382" s="7"/>
    </row>
    <row r="383" spans="2:22" ht="15.75" customHeight="1"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8"/>
      <c r="M383" s="7"/>
      <c r="N383" s="8"/>
      <c r="O383" s="8"/>
      <c r="P383" s="8"/>
      <c r="Q383" s="8"/>
      <c r="R383" s="8"/>
      <c r="S383" s="8" t="s">
        <v>63</v>
      </c>
      <c r="T383" s="7"/>
      <c r="U383" s="7"/>
      <c r="V383" s="7"/>
    </row>
    <row r="384" spans="2:22" ht="15.75" customHeight="1"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8"/>
      <c r="M384" s="7"/>
      <c r="N384" s="8"/>
      <c r="O384" s="8"/>
      <c r="P384" s="8"/>
      <c r="Q384" s="8"/>
      <c r="R384" s="8"/>
      <c r="S384" s="8" t="s">
        <v>63</v>
      </c>
      <c r="T384" s="7"/>
      <c r="U384" s="7"/>
      <c r="V384" s="7"/>
    </row>
    <row r="385" spans="2:22" ht="15.75" customHeight="1"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8"/>
      <c r="M385" s="7"/>
      <c r="N385" s="8"/>
      <c r="O385" s="8"/>
      <c r="P385" s="8"/>
      <c r="Q385" s="8"/>
      <c r="R385" s="8"/>
      <c r="S385" s="8" t="s">
        <v>63</v>
      </c>
      <c r="T385" s="7"/>
      <c r="U385" s="7"/>
      <c r="V385" s="7"/>
    </row>
    <row r="386" spans="2:22" ht="15.75" customHeight="1"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8"/>
      <c r="M386" s="7"/>
      <c r="N386" s="8"/>
      <c r="O386" s="8"/>
      <c r="P386" s="8"/>
      <c r="Q386" s="8"/>
      <c r="R386" s="8"/>
      <c r="S386" s="8" t="s">
        <v>63</v>
      </c>
      <c r="T386" s="7"/>
      <c r="U386" s="7"/>
      <c r="V386" s="7"/>
    </row>
    <row r="387" spans="2:22" ht="15.75" customHeight="1"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8"/>
      <c r="M387" s="7"/>
      <c r="N387" s="8"/>
      <c r="O387" s="8"/>
      <c r="P387" s="8"/>
      <c r="Q387" s="8"/>
      <c r="R387" s="8"/>
      <c r="S387" s="8" t="s">
        <v>63</v>
      </c>
      <c r="T387" s="7"/>
      <c r="U387" s="7"/>
      <c r="V387" s="7"/>
    </row>
    <row r="388" spans="2:22" ht="15.75" customHeight="1"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8"/>
      <c r="M388" s="7"/>
      <c r="N388" s="8"/>
      <c r="O388" s="8"/>
      <c r="P388" s="8"/>
      <c r="Q388" s="8"/>
      <c r="R388" s="8"/>
      <c r="S388" s="8" t="s">
        <v>63</v>
      </c>
      <c r="T388" s="7"/>
      <c r="U388" s="7"/>
      <c r="V388" s="7"/>
    </row>
    <row r="389" spans="2:22" ht="15.75" customHeight="1"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8"/>
      <c r="M389" s="7"/>
      <c r="N389" s="8"/>
      <c r="O389" s="8"/>
      <c r="P389" s="8"/>
      <c r="Q389" s="8"/>
      <c r="R389" s="8"/>
      <c r="S389" s="8" t="s">
        <v>63</v>
      </c>
      <c r="T389" s="7"/>
      <c r="U389" s="7"/>
      <c r="V389" s="7"/>
    </row>
    <row r="390" spans="2:22" ht="15.75" customHeight="1"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8"/>
      <c r="M390" s="7"/>
      <c r="N390" s="8"/>
      <c r="O390" s="8"/>
      <c r="P390" s="8"/>
      <c r="Q390" s="8"/>
      <c r="R390" s="8"/>
      <c r="S390" s="8" t="s">
        <v>63</v>
      </c>
      <c r="T390" s="7"/>
      <c r="U390" s="7"/>
      <c r="V390" s="7"/>
    </row>
    <row r="391" spans="2:22" ht="15.75" customHeight="1"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8"/>
      <c r="M391" s="7"/>
      <c r="N391" s="8"/>
      <c r="O391" s="8"/>
      <c r="P391" s="8"/>
      <c r="Q391" s="8"/>
      <c r="R391" s="8"/>
      <c r="S391" s="8" t="s">
        <v>63</v>
      </c>
      <c r="T391" s="7"/>
      <c r="U391" s="7"/>
      <c r="V391" s="7"/>
    </row>
    <row r="392" spans="2:22" ht="15.75" customHeight="1"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8"/>
      <c r="M392" s="7"/>
      <c r="N392" s="8"/>
      <c r="O392" s="8"/>
      <c r="P392" s="8"/>
      <c r="Q392" s="8"/>
      <c r="R392" s="8"/>
      <c r="S392" s="8" t="s">
        <v>63</v>
      </c>
      <c r="T392" s="7"/>
      <c r="U392" s="7"/>
      <c r="V392" s="7"/>
    </row>
    <row r="393" spans="2:22" ht="15.75" customHeight="1"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8"/>
      <c r="M393" s="7"/>
      <c r="N393" s="8"/>
      <c r="O393" s="8"/>
      <c r="P393" s="8"/>
      <c r="Q393" s="8"/>
      <c r="R393" s="8"/>
      <c r="S393" s="8" t="s">
        <v>63</v>
      </c>
      <c r="T393" s="7"/>
      <c r="U393" s="7"/>
      <c r="V393" s="7"/>
    </row>
    <row r="394" spans="2:22" ht="15.75" customHeight="1"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8"/>
      <c r="M394" s="7"/>
      <c r="N394" s="8"/>
      <c r="O394" s="8"/>
      <c r="P394" s="8"/>
      <c r="Q394" s="8"/>
      <c r="R394" s="8"/>
      <c r="S394" s="8" t="s">
        <v>63</v>
      </c>
      <c r="T394" s="7"/>
      <c r="U394" s="7"/>
      <c r="V394" s="7"/>
    </row>
    <row r="395" spans="2:22" ht="15.75" customHeight="1"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8"/>
      <c r="M395" s="7"/>
      <c r="N395" s="8"/>
      <c r="O395" s="8"/>
      <c r="P395" s="8"/>
      <c r="Q395" s="8"/>
      <c r="R395" s="8"/>
      <c r="S395" s="8" t="s">
        <v>63</v>
      </c>
      <c r="T395" s="7"/>
      <c r="U395" s="7"/>
      <c r="V395" s="7"/>
    </row>
    <row r="396" spans="2:22" ht="15.75" customHeight="1"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8"/>
      <c r="M396" s="7"/>
      <c r="N396" s="8"/>
      <c r="O396" s="8"/>
      <c r="P396" s="8"/>
      <c r="Q396" s="8"/>
      <c r="R396" s="8"/>
      <c r="S396" s="8" t="s">
        <v>63</v>
      </c>
      <c r="T396" s="7"/>
      <c r="U396" s="7"/>
      <c r="V396" s="7"/>
    </row>
    <row r="397" spans="2:22" ht="15.75" customHeight="1"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8"/>
      <c r="M397" s="7"/>
      <c r="N397" s="8"/>
      <c r="O397" s="8"/>
      <c r="P397" s="8"/>
      <c r="Q397" s="8"/>
      <c r="R397" s="8"/>
      <c r="S397" s="8" t="s">
        <v>63</v>
      </c>
      <c r="T397" s="7"/>
      <c r="U397" s="7"/>
      <c r="V397" s="7"/>
    </row>
    <row r="398" spans="2:22" ht="15.75" customHeight="1"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8"/>
      <c r="M398" s="7"/>
      <c r="N398" s="8"/>
      <c r="O398" s="8"/>
      <c r="P398" s="8"/>
      <c r="Q398" s="8"/>
      <c r="R398" s="8"/>
      <c r="S398" s="8" t="s">
        <v>63</v>
      </c>
      <c r="T398" s="7"/>
      <c r="U398" s="7"/>
      <c r="V398" s="7"/>
    </row>
    <row r="399" spans="2:22" ht="15.75" customHeight="1"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8"/>
      <c r="M399" s="7"/>
      <c r="N399" s="8"/>
      <c r="O399" s="8"/>
      <c r="P399" s="8"/>
      <c r="Q399" s="8"/>
      <c r="R399" s="8"/>
      <c r="S399" s="8" t="s">
        <v>63</v>
      </c>
      <c r="T399" s="7"/>
      <c r="U399" s="7"/>
      <c r="V399" s="7"/>
    </row>
    <row r="400" spans="2:22" ht="15.75" customHeight="1"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8"/>
      <c r="M400" s="7"/>
      <c r="N400" s="8"/>
      <c r="O400" s="8"/>
      <c r="P400" s="8"/>
      <c r="Q400" s="8"/>
      <c r="R400" s="8"/>
      <c r="S400" s="8" t="s">
        <v>63</v>
      </c>
      <c r="T400" s="7"/>
      <c r="U400" s="7"/>
      <c r="V400" s="7"/>
    </row>
    <row r="401" spans="2:22" ht="15.75" customHeight="1"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8"/>
      <c r="M401" s="7"/>
      <c r="N401" s="8"/>
      <c r="O401" s="8"/>
      <c r="P401" s="8"/>
      <c r="Q401" s="8"/>
      <c r="R401" s="8"/>
      <c r="S401" s="8" t="s">
        <v>63</v>
      </c>
      <c r="T401" s="7"/>
      <c r="U401" s="7"/>
      <c r="V401" s="7"/>
    </row>
    <row r="402" spans="2:22" ht="15.75" customHeight="1"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8"/>
      <c r="M402" s="7"/>
      <c r="N402" s="8"/>
      <c r="O402" s="8"/>
      <c r="P402" s="8"/>
      <c r="Q402" s="8"/>
      <c r="R402" s="8"/>
      <c r="S402" s="8" t="s">
        <v>63</v>
      </c>
      <c r="T402" s="7"/>
      <c r="U402" s="7"/>
      <c r="V402" s="7"/>
    </row>
    <row r="403" spans="2:22" ht="15.75" customHeight="1"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8"/>
      <c r="M403" s="7"/>
      <c r="N403" s="8"/>
      <c r="O403" s="8"/>
      <c r="P403" s="8"/>
      <c r="Q403" s="8"/>
      <c r="R403" s="8"/>
      <c r="S403" s="8" t="s">
        <v>63</v>
      </c>
      <c r="T403" s="7"/>
      <c r="U403" s="7"/>
      <c r="V403" s="7"/>
    </row>
    <row r="404" spans="2:22" ht="15.75" customHeight="1"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8"/>
      <c r="M404" s="7"/>
      <c r="N404" s="8"/>
      <c r="O404" s="8"/>
      <c r="P404" s="8"/>
      <c r="Q404" s="8"/>
      <c r="R404" s="8"/>
      <c r="S404" s="8" t="s">
        <v>63</v>
      </c>
      <c r="T404" s="7"/>
      <c r="U404" s="7"/>
      <c r="V404" s="7"/>
    </row>
    <row r="405" spans="2:22" ht="15.75" customHeight="1"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8"/>
      <c r="M405" s="7"/>
      <c r="N405" s="8"/>
      <c r="O405" s="8"/>
      <c r="P405" s="8"/>
      <c r="Q405" s="8"/>
      <c r="R405" s="8"/>
      <c r="S405" s="8" t="s">
        <v>63</v>
      </c>
      <c r="T405" s="7"/>
      <c r="U405" s="7"/>
      <c r="V405" s="7"/>
    </row>
    <row r="406" spans="2:22" ht="15.75" customHeight="1"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8"/>
      <c r="M406" s="7"/>
      <c r="N406" s="8"/>
      <c r="O406" s="8"/>
      <c r="P406" s="8"/>
      <c r="Q406" s="8"/>
      <c r="R406" s="8"/>
      <c r="S406" s="8" t="s">
        <v>63</v>
      </c>
      <c r="T406" s="7"/>
      <c r="U406" s="7"/>
      <c r="V406" s="7"/>
    </row>
    <row r="407" spans="2:22" ht="15.75" customHeight="1"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8"/>
      <c r="M407" s="7"/>
      <c r="N407" s="8"/>
      <c r="O407" s="8"/>
      <c r="P407" s="8"/>
      <c r="Q407" s="8"/>
      <c r="R407" s="8"/>
      <c r="S407" s="8" t="s">
        <v>63</v>
      </c>
      <c r="T407" s="7"/>
      <c r="U407" s="7"/>
      <c r="V407" s="7"/>
    </row>
    <row r="408" spans="2:22" ht="15.75" customHeight="1"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8"/>
      <c r="M408" s="7"/>
      <c r="N408" s="8"/>
      <c r="O408" s="8"/>
      <c r="P408" s="8"/>
      <c r="Q408" s="8"/>
      <c r="R408" s="8"/>
      <c r="S408" s="8" t="s">
        <v>63</v>
      </c>
      <c r="T408" s="7"/>
      <c r="U408" s="7"/>
      <c r="V408" s="7"/>
    </row>
    <row r="409" spans="2:22" ht="15.75" customHeight="1"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8"/>
      <c r="M409" s="7"/>
      <c r="N409" s="8"/>
      <c r="O409" s="8"/>
      <c r="P409" s="8"/>
      <c r="Q409" s="8"/>
      <c r="R409" s="8"/>
      <c r="S409" s="8" t="s">
        <v>63</v>
      </c>
      <c r="T409" s="7"/>
      <c r="U409" s="7"/>
      <c r="V409" s="7"/>
    </row>
    <row r="410" spans="2:22" ht="15.75" customHeight="1"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8"/>
      <c r="M410" s="7"/>
      <c r="N410" s="8"/>
      <c r="O410" s="8"/>
      <c r="P410" s="8"/>
      <c r="Q410" s="8"/>
      <c r="R410" s="8"/>
      <c r="S410" s="8" t="s">
        <v>63</v>
      </c>
      <c r="T410" s="7"/>
      <c r="U410" s="7"/>
      <c r="V410" s="7"/>
    </row>
    <row r="411" spans="2:22" ht="15.75" customHeight="1"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8"/>
      <c r="M411" s="7"/>
      <c r="N411" s="8"/>
      <c r="O411" s="8"/>
      <c r="P411" s="8"/>
      <c r="Q411" s="8"/>
      <c r="R411" s="8"/>
      <c r="S411" s="8" t="s">
        <v>63</v>
      </c>
      <c r="T411" s="7"/>
      <c r="U411" s="7"/>
      <c r="V411" s="7"/>
    </row>
    <row r="412" spans="2:22" ht="15.75" customHeight="1"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8"/>
      <c r="M412" s="7"/>
      <c r="N412" s="8"/>
      <c r="O412" s="8"/>
      <c r="P412" s="8"/>
      <c r="Q412" s="8"/>
      <c r="R412" s="8"/>
      <c r="S412" s="8" t="s">
        <v>63</v>
      </c>
      <c r="T412" s="7"/>
      <c r="U412" s="7"/>
      <c r="V412" s="7"/>
    </row>
    <row r="413" spans="2:22" ht="15.75" customHeight="1"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8"/>
      <c r="M413" s="7"/>
      <c r="N413" s="8"/>
      <c r="O413" s="8"/>
      <c r="P413" s="8"/>
      <c r="Q413" s="8"/>
      <c r="R413" s="8"/>
      <c r="S413" s="8" t="s">
        <v>63</v>
      </c>
      <c r="T413" s="7"/>
      <c r="U413" s="7"/>
      <c r="V413" s="7"/>
    </row>
    <row r="414" spans="2:22" ht="15.75" customHeight="1"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8"/>
      <c r="M414" s="7"/>
      <c r="N414" s="8"/>
      <c r="O414" s="8"/>
      <c r="P414" s="8"/>
      <c r="Q414" s="8"/>
      <c r="R414" s="8"/>
      <c r="S414" s="8" t="s">
        <v>63</v>
      </c>
      <c r="T414" s="7"/>
      <c r="U414" s="7"/>
      <c r="V414" s="7"/>
    </row>
    <row r="415" spans="2:22" ht="15.75" customHeight="1"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8"/>
      <c r="M415" s="7"/>
      <c r="N415" s="8"/>
      <c r="O415" s="8"/>
      <c r="P415" s="8"/>
      <c r="Q415" s="8"/>
      <c r="R415" s="8"/>
      <c r="S415" s="8" t="s">
        <v>63</v>
      </c>
      <c r="T415" s="7"/>
      <c r="U415" s="7"/>
      <c r="V415" s="7"/>
    </row>
    <row r="416" spans="2:22" ht="15.75" customHeight="1"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8"/>
      <c r="M416" s="7"/>
      <c r="N416" s="8"/>
      <c r="O416" s="8"/>
      <c r="P416" s="8"/>
      <c r="Q416" s="8"/>
      <c r="R416" s="8"/>
      <c r="S416" s="8" t="s">
        <v>63</v>
      </c>
      <c r="T416" s="7"/>
      <c r="U416" s="7"/>
      <c r="V416" s="7"/>
    </row>
    <row r="417" spans="2:22" ht="15.75" customHeight="1"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8"/>
      <c r="M417" s="7"/>
      <c r="N417" s="8"/>
      <c r="O417" s="8"/>
      <c r="P417" s="8"/>
      <c r="Q417" s="8"/>
      <c r="R417" s="8"/>
      <c r="S417" s="8" t="s">
        <v>63</v>
      </c>
      <c r="T417" s="7"/>
      <c r="U417" s="7"/>
      <c r="V417" s="7"/>
    </row>
    <row r="418" spans="2:22" ht="15.75" customHeight="1"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8"/>
      <c r="M418" s="7"/>
      <c r="N418" s="8"/>
      <c r="O418" s="8"/>
      <c r="P418" s="8"/>
      <c r="Q418" s="8"/>
      <c r="R418" s="8"/>
      <c r="S418" s="8" t="s">
        <v>63</v>
      </c>
      <c r="T418" s="7"/>
      <c r="U418" s="7"/>
      <c r="V418" s="7"/>
    </row>
    <row r="419" spans="2:22" ht="15.75" customHeight="1"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8"/>
      <c r="M419" s="7"/>
      <c r="N419" s="8"/>
      <c r="O419" s="8"/>
      <c r="P419" s="8"/>
      <c r="Q419" s="8"/>
      <c r="R419" s="8"/>
      <c r="S419" s="8" t="s">
        <v>63</v>
      </c>
      <c r="T419" s="7"/>
      <c r="U419" s="7"/>
      <c r="V419" s="7"/>
    </row>
    <row r="420" spans="2:22" ht="15.75" customHeight="1"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8"/>
      <c r="M420" s="7"/>
      <c r="N420" s="8"/>
      <c r="O420" s="8"/>
      <c r="P420" s="8"/>
      <c r="Q420" s="8"/>
      <c r="R420" s="8"/>
      <c r="S420" s="8" t="s">
        <v>63</v>
      </c>
      <c r="T420" s="7"/>
      <c r="U420" s="7"/>
      <c r="V420" s="7"/>
    </row>
    <row r="421" spans="2:22" ht="15.75" customHeight="1"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8"/>
      <c r="M421" s="7"/>
      <c r="N421" s="8"/>
      <c r="O421" s="8"/>
      <c r="P421" s="8"/>
      <c r="Q421" s="8"/>
      <c r="R421" s="8"/>
      <c r="S421" s="8" t="s">
        <v>63</v>
      </c>
      <c r="T421" s="7"/>
      <c r="U421" s="7"/>
      <c r="V421" s="7"/>
    </row>
    <row r="422" spans="2:22" ht="15.75" customHeight="1"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8"/>
      <c r="M422" s="7"/>
      <c r="N422" s="8"/>
      <c r="O422" s="8"/>
      <c r="P422" s="8"/>
      <c r="Q422" s="8"/>
      <c r="R422" s="8"/>
      <c r="S422" s="8" t="s">
        <v>63</v>
      </c>
      <c r="T422" s="7"/>
      <c r="U422" s="7"/>
      <c r="V422" s="7"/>
    </row>
    <row r="423" spans="2:22" ht="15.75" customHeight="1"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8"/>
      <c r="M423" s="7"/>
      <c r="N423" s="8"/>
      <c r="O423" s="8"/>
      <c r="P423" s="8"/>
      <c r="Q423" s="8"/>
      <c r="R423" s="8"/>
      <c r="S423" s="8" t="s">
        <v>63</v>
      </c>
      <c r="T423" s="7"/>
      <c r="U423" s="7"/>
      <c r="V423" s="7"/>
    </row>
    <row r="424" spans="2:22" ht="15.75" customHeight="1"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8"/>
      <c r="M424" s="7"/>
      <c r="N424" s="8"/>
      <c r="O424" s="8"/>
      <c r="P424" s="8"/>
      <c r="Q424" s="8"/>
      <c r="R424" s="8"/>
      <c r="S424" s="8" t="s">
        <v>63</v>
      </c>
      <c r="T424" s="7"/>
      <c r="U424" s="7"/>
      <c r="V424" s="7"/>
    </row>
    <row r="425" spans="2:22" ht="15.75" customHeight="1"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8"/>
      <c r="M425" s="7"/>
      <c r="N425" s="8"/>
      <c r="O425" s="8"/>
      <c r="P425" s="8"/>
      <c r="Q425" s="8"/>
      <c r="R425" s="8"/>
      <c r="S425" s="8" t="s">
        <v>63</v>
      </c>
      <c r="T425" s="7"/>
      <c r="U425" s="7"/>
      <c r="V425" s="7"/>
    </row>
    <row r="426" spans="2:22" ht="15.75" customHeight="1"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8"/>
      <c r="M426" s="7"/>
      <c r="N426" s="8"/>
      <c r="O426" s="8"/>
      <c r="P426" s="8"/>
      <c r="Q426" s="8"/>
      <c r="R426" s="8"/>
      <c r="S426" s="8" t="s">
        <v>63</v>
      </c>
      <c r="T426" s="7"/>
      <c r="U426" s="7"/>
      <c r="V426" s="7"/>
    </row>
    <row r="427" spans="2:22" ht="15.75" customHeight="1"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8"/>
      <c r="M427" s="7"/>
      <c r="N427" s="8"/>
      <c r="O427" s="8"/>
      <c r="P427" s="8"/>
      <c r="Q427" s="8"/>
      <c r="R427" s="8"/>
      <c r="S427" s="8" t="s">
        <v>63</v>
      </c>
      <c r="T427" s="7"/>
      <c r="U427" s="7"/>
      <c r="V427" s="7"/>
    </row>
    <row r="428" spans="2:22" ht="15.75" customHeight="1"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8"/>
      <c r="M428" s="7"/>
      <c r="N428" s="8"/>
      <c r="O428" s="8"/>
      <c r="P428" s="8"/>
      <c r="Q428" s="8"/>
      <c r="R428" s="8"/>
      <c r="S428" s="8" t="s">
        <v>63</v>
      </c>
      <c r="T428" s="7"/>
      <c r="U428" s="7"/>
      <c r="V428" s="7"/>
    </row>
    <row r="429" spans="2:22" ht="15.75" customHeight="1"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8"/>
      <c r="M429" s="7"/>
      <c r="N429" s="8"/>
      <c r="O429" s="8"/>
      <c r="P429" s="8"/>
      <c r="Q429" s="8"/>
      <c r="R429" s="8"/>
      <c r="S429" s="8" t="s">
        <v>63</v>
      </c>
      <c r="T429" s="7"/>
      <c r="U429" s="7"/>
      <c r="V429" s="7"/>
    </row>
    <row r="430" spans="2:22" ht="15.75" customHeight="1"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8"/>
      <c r="M430" s="7"/>
      <c r="N430" s="8"/>
      <c r="O430" s="8"/>
      <c r="P430" s="8"/>
      <c r="Q430" s="8"/>
      <c r="R430" s="8"/>
      <c r="S430" s="8" t="s">
        <v>63</v>
      </c>
      <c r="T430" s="7"/>
      <c r="U430" s="7"/>
      <c r="V430" s="7"/>
    </row>
    <row r="431" spans="2:22" ht="15.75" customHeight="1"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8"/>
      <c r="M431" s="7"/>
      <c r="N431" s="8"/>
      <c r="O431" s="8"/>
      <c r="P431" s="8"/>
      <c r="Q431" s="8"/>
      <c r="R431" s="8"/>
      <c r="S431" s="8" t="s">
        <v>63</v>
      </c>
      <c r="T431" s="7"/>
      <c r="U431" s="7"/>
      <c r="V431" s="7"/>
    </row>
    <row r="432" spans="2:22" ht="15.75" customHeight="1"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8"/>
      <c r="M432" s="7"/>
      <c r="N432" s="8"/>
      <c r="O432" s="8"/>
      <c r="P432" s="8"/>
      <c r="Q432" s="8"/>
      <c r="R432" s="8"/>
      <c r="S432" s="8" t="s">
        <v>63</v>
      </c>
      <c r="T432" s="7"/>
      <c r="U432" s="7"/>
      <c r="V432" s="7"/>
    </row>
    <row r="433" spans="2:22" ht="15.75" customHeight="1"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8"/>
      <c r="M433" s="7"/>
      <c r="N433" s="8"/>
      <c r="O433" s="8"/>
      <c r="P433" s="8"/>
      <c r="Q433" s="8"/>
      <c r="R433" s="8"/>
      <c r="S433" s="8" t="s">
        <v>63</v>
      </c>
      <c r="T433" s="7"/>
      <c r="U433" s="7"/>
      <c r="V433" s="7"/>
    </row>
    <row r="434" spans="2:22" ht="15.75" customHeight="1"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8"/>
      <c r="M434" s="7"/>
      <c r="N434" s="8"/>
      <c r="O434" s="8"/>
      <c r="P434" s="8"/>
      <c r="Q434" s="8"/>
      <c r="R434" s="8"/>
      <c r="S434" s="8" t="s">
        <v>63</v>
      </c>
      <c r="T434" s="7"/>
      <c r="U434" s="7"/>
      <c r="V434" s="7"/>
    </row>
    <row r="435" spans="2:22" ht="15.75" customHeight="1"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8"/>
      <c r="M435" s="7"/>
      <c r="N435" s="8"/>
      <c r="O435" s="8"/>
      <c r="P435" s="8"/>
      <c r="Q435" s="8"/>
      <c r="R435" s="8"/>
      <c r="S435" s="8" t="s">
        <v>63</v>
      </c>
      <c r="T435" s="7"/>
      <c r="U435" s="7"/>
      <c r="V435" s="7"/>
    </row>
    <row r="436" spans="2:22" ht="15.75" customHeight="1"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8"/>
      <c r="M436" s="7"/>
      <c r="N436" s="8"/>
      <c r="O436" s="8"/>
      <c r="P436" s="8"/>
      <c r="Q436" s="8"/>
      <c r="R436" s="8"/>
      <c r="S436" s="8" t="s">
        <v>63</v>
      </c>
      <c r="T436" s="7"/>
      <c r="U436" s="7"/>
      <c r="V436" s="7"/>
    </row>
    <row r="437" spans="2:22" ht="15.75" customHeight="1"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8"/>
      <c r="M437" s="7"/>
      <c r="N437" s="8"/>
      <c r="O437" s="8"/>
      <c r="P437" s="8"/>
      <c r="Q437" s="8"/>
      <c r="R437" s="8"/>
      <c r="S437" s="8" t="s">
        <v>63</v>
      </c>
      <c r="T437" s="7"/>
      <c r="U437" s="7"/>
      <c r="V437" s="7"/>
    </row>
    <row r="438" spans="2:22" ht="15.75" customHeight="1"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8"/>
      <c r="M438" s="7"/>
      <c r="N438" s="8"/>
      <c r="O438" s="8"/>
      <c r="P438" s="8"/>
      <c r="Q438" s="8"/>
      <c r="R438" s="8"/>
      <c r="S438" s="8" t="s">
        <v>63</v>
      </c>
      <c r="T438" s="7"/>
      <c r="U438" s="7"/>
      <c r="V438" s="7"/>
    </row>
    <row r="439" spans="2:22" ht="15.75" customHeight="1"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8"/>
      <c r="M439" s="7"/>
      <c r="N439" s="8"/>
      <c r="O439" s="8"/>
      <c r="P439" s="8"/>
      <c r="Q439" s="8"/>
      <c r="R439" s="8"/>
      <c r="S439" s="8" t="s">
        <v>63</v>
      </c>
      <c r="T439" s="7"/>
      <c r="U439" s="7"/>
      <c r="V439" s="7"/>
    </row>
    <row r="440" spans="2:22" ht="15.75" customHeight="1"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8"/>
      <c r="M440" s="7"/>
      <c r="N440" s="8"/>
      <c r="O440" s="8"/>
      <c r="P440" s="8"/>
      <c r="Q440" s="8"/>
      <c r="R440" s="8"/>
      <c r="S440" s="8" t="s">
        <v>63</v>
      </c>
      <c r="T440" s="7"/>
      <c r="U440" s="7"/>
      <c r="V440" s="7"/>
    </row>
    <row r="441" spans="2:22" ht="15.75" customHeight="1"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8"/>
      <c r="M441" s="7"/>
      <c r="N441" s="8"/>
      <c r="O441" s="8"/>
      <c r="P441" s="8"/>
      <c r="Q441" s="8"/>
      <c r="R441" s="8"/>
      <c r="S441" s="8" t="s">
        <v>63</v>
      </c>
      <c r="T441" s="7"/>
      <c r="U441" s="7"/>
      <c r="V441" s="7"/>
    </row>
    <row r="442" spans="2:22" ht="15.75" customHeight="1"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8"/>
      <c r="M442" s="7"/>
      <c r="N442" s="8"/>
      <c r="O442" s="8"/>
      <c r="P442" s="8"/>
      <c r="Q442" s="8"/>
      <c r="R442" s="8"/>
      <c r="S442" s="8" t="s">
        <v>63</v>
      </c>
      <c r="T442" s="7"/>
      <c r="U442" s="7"/>
      <c r="V442" s="7"/>
    </row>
    <row r="443" spans="2:22" ht="15.75" customHeight="1"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8"/>
      <c r="M443" s="7"/>
      <c r="N443" s="8"/>
      <c r="O443" s="8"/>
      <c r="P443" s="8"/>
      <c r="Q443" s="8"/>
      <c r="R443" s="8"/>
      <c r="S443" s="8" t="s">
        <v>63</v>
      </c>
      <c r="T443" s="7"/>
      <c r="U443" s="7"/>
      <c r="V443" s="7"/>
    </row>
    <row r="444" spans="2:22" ht="15.75" customHeight="1"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8"/>
      <c r="M444" s="7"/>
      <c r="N444" s="8"/>
      <c r="O444" s="8"/>
      <c r="P444" s="8"/>
      <c r="Q444" s="8"/>
      <c r="R444" s="8"/>
      <c r="S444" s="8" t="s">
        <v>63</v>
      </c>
      <c r="T444" s="7"/>
      <c r="U444" s="7"/>
      <c r="V444" s="7"/>
    </row>
    <row r="445" spans="2:22" ht="15.75" customHeight="1"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8"/>
      <c r="M445" s="7"/>
      <c r="N445" s="8"/>
      <c r="O445" s="8"/>
      <c r="P445" s="8"/>
      <c r="Q445" s="8"/>
      <c r="R445" s="8"/>
      <c r="S445" s="8" t="s">
        <v>63</v>
      </c>
      <c r="T445" s="7"/>
      <c r="U445" s="7"/>
      <c r="V445" s="7"/>
    </row>
    <row r="446" spans="2:22" ht="15.75" customHeight="1"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8"/>
      <c r="M446" s="7"/>
      <c r="N446" s="8"/>
      <c r="O446" s="8"/>
      <c r="P446" s="8"/>
      <c r="Q446" s="8"/>
      <c r="R446" s="8"/>
      <c r="S446" s="8" t="s">
        <v>63</v>
      </c>
      <c r="T446" s="7"/>
      <c r="U446" s="7"/>
      <c r="V446" s="7"/>
    </row>
    <row r="447" spans="2:22" ht="15.75" customHeight="1"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8"/>
      <c r="M447" s="7"/>
      <c r="N447" s="8"/>
      <c r="O447" s="8"/>
      <c r="P447" s="8"/>
      <c r="Q447" s="8"/>
      <c r="R447" s="8"/>
      <c r="S447" s="8" t="s">
        <v>63</v>
      </c>
      <c r="T447" s="7"/>
      <c r="U447" s="7"/>
      <c r="V447" s="7"/>
    </row>
    <row r="448" spans="2:22" ht="15.75" customHeight="1"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8"/>
      <c r="M448" s="7"/>
      <c r="N448" s="8"/>
      <c r="O448" s="8"/>
      <c r="P448" s="8"/>
      <c r="Q448" s="8"/>
      <c r="R448" s="8"/>
      <c r="S448" s="8" t="s">
        <v>63</v>
      </c>
      <c r="T448" s="7"/>
      <c r="U448" s="7"/>
      <c r="V448" s="7"/>
    </row>
    <row r="449" spans="2:22" ht="15.75" customHeight="1"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8"/>
      <c r="M449" s="7"/>
      <c r="N449" s="8"/>
      <c r="O449" s="8"/>
      <c r="P449" s="8"/>
      <c r="Q449" s="8"/>
      <c r="R449" s="8"/>
      <c r="S449" s="8" t="s">
        <v>63</v>
      </c>
      <c r="T449" s="7"/>
      <c r="U449" s="7"/>
      <c r="V449" s="7"/>
    </row>
    <row r="450" spans="2:22" ht="15.75" customHeight="1"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8"/>
      <c r="M450" s="7"/>
      <c r="N450" s="8"/>
      <c r="O450" s="8"/>
      <c r="P450" s="8"/>
      <c r="Q450" s="8"/>
      <c r="R450" s="8"/>
      <c r="S450" s="8" t="s">
        <v>63</v>
      </c>
      <c r="T450" s="7"/>
      <c r="U450" s="7"/>
      <c r="V450" s="7"/>
    </row>
    <row r="451" spans="2:22" ht="15.75" customHeight="1"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8"/>
      <c r="M451" s="7"/>
      <c r="N451" s="8"/>
      <c r="O451" s="8"/>
      <c r="P451" s="8"/>
      <c r="Q451" s="8"/>
      <c r="R451" s="8"/>
      <c r="S451" s="8" t="s">
        <v>63</v>
      </c>
      <c r="T451" s="7"/>
      <c r="U451" s="7"/>
      <c r="V451" s="7"/>
    </row>
    <row r="452" spans="2:22" ht="15.75" customHeight="1"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8"/>
      <c r="M452" s="7"/>
      <c r="N452" s="8"/>
      <c r="O452" s="8"/>
      <c r="P452" s="8"/>
      <c r="Q452" s="8"/>
      <c r="R452" s="8"/>
      <c r="S452" s="8" t="s">
        <v>63</v>
      </c>
      <c r="T452" s="7"/>
      <c r="U452" s="7"/>
      <c r="V452" s="7"/>
    </row>
    <row r="453" spans="2:22" ht="15.75" customHeight="1"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8"/>
      <c r="M453" s="7"/>
      <c r="N453" s="8"/>
      <c r="O453" s="8"/>
      <c r="P453" s="8"/>
      <c r="Q453" s="8"/>
      <c r="R453" s="8"/>
      <c r="S453" s="8" t="s">
        <v>63</v>
      </c>
      <c r="T453" s="7"/>
      <c r="U453" s="7"/>
      <c r="V453" s="7"/>
    </row>
    <row r="454" spans="2:22" ht="15.75" customHeight="1"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8"/>
      <c r="M454" s="7"/>
      <c r="N454" s="8"/>
      <c r="O454" s="8"/>
      <c r="P454" s="8"/>
      <c r="Q454" s="8"/>
      <c r="R454" s="8"/>
      <c r="S454" s="8" t="s">
        <v>63</v>
      </c>
      <c r="T454" s="7"/>
      <c r="U454" s="7"/>
      <c r="V454" s="7"/>
    </row>
    <row r="455" spans="2:22" ht="15.75" customHeight="1"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8"/>
      <c r="M455" s="7"/>
      <c r="N455" s="8"/>
      <c r="O455" s="8"/>
      <c r="P455" s="8"/>
      <c r="Q455" s="8"/>
      <c r="R455" s="8"/>
      <c r="S455" s="8" t="s">
        <v>63</v>
      </c>
      <c r="T455" s="7"/>
      <c r="U455" s="7"/>
      <c r="V455" s="7"/>
    </row>
    <row r="456" spans="2:22" ht="15.75" customHeight="1"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8"/>
      <c r="M456" s="7"/>
      <c r="N456" s="8"/>
      <c r="O456" s="8"/>
      <c r="P456" s="8"/>
      <c r="Q456" s="8"/>
      <c r="R456" s="8"/>
      <c r="S456" s="8" t="s">
        <v>63</v>
      </c>
      <c r="T456" s="7"/>
      <c r="U456" s="7"/>
      <c r="V456" s="7"/>
    </row>
    <row r="457" spans="2:22" ht="15.75" customHeight="1"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8"/>
      <c r="M457" s="7"/>
      <c r="N457" s="8"/>
      <c r="O457" s="8"/>
      <c r="P457" s="8"/>
      <c r="Q457" s="8"/>
      <c r="R457" s="8"/>
      <c r="S457" s="8" t="s">
        <v>63</v>
      </c>
      <c r="T457" s="7"/>
      <c r="U457" s="7"/>
      <c r="V457" s="7"/>
    </row>
    <row r="458" spans="2:22" ht="15.75" customHeight="1"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8"/>
      <c r="M458" s="7"/>
      <c r="N458" s="8"/>
      <c r="O458" s="8"/>
      <c r="P458" s="8"/>
      <c r="Q458" s="8"/>
      <c r="R458" s="8"/>
      <c r="S458" s="8" t="s">
        <v>63</v>
      </c>
      <c r="T458" s="7"/>
      <c r="U458" s="7"/>
      <c r="V458" s="7"/>
    </row>
    <row r="459" spans="2:22" ht="15.75" customHeight="1"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8"/>
      <c r="M459" s="7"/>
      <c r="N459" s="8"/>
      <c r="O459" s="8"/>
      <c r="P459" s="8"/>
      <c r="Q459" s="8"/>
      <c r="R459" s="8"/>
      <c r="S459" s="8" t="s">
        <v>63</v>
      </c>
      <c r="T459" s="7"/>
      <c r="U459" s="7"/>
      <c r="V459" s="7"/>
    </row>
    <row r="460" spans="2:22" ht="15.75" customHeight="1"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8"/>
      <c r="M460" s="7"/>
      <c r="N460" s="8"/>
      <c r="O460" s="8"/>
      <c r="P460" s="8"/>
      <c r="Q460" s="8"/>
      <c r="R460" s="8"/>
      <c r="S460" s="8" t="s">
        <v>63</v>
      </c>
      <c r="T460" s="7"/>
      <c r="U460" s="7"/>
      <c r="V460" s="7"/>
    </row>
    <row r="461" spans="2:22" ht="15.75" customHeight="1"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8"/>
      <c r="M461" s="7"/>
      <c r="N461" s="8"/>
      <c r="O461" s="8"/>
      <c r="P461" s="8"/>
      <c r="Q461" s="8"/>
      <c r="R461" s="8"/>
      <c r="S461" s="8" t="s">
        <v>63</v>
      </c>
      <c r="T461" s="7"/>
      <c r="U461" s="7"/>
      <c r="V461" s="7"/>
    </row>
    <row r="462" spans="2:22" ht="15.75" customHeight="1"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8"/>
      <c r="M462" s="7"/>
      <c r="N462" s="8"/>
      <c r="O462" s="8"/>
      <c r="P462" s="8"/>
      <c r="Q462" s="8"/>
      <c r="R462" s="8"/>
      <c r="S462" s="8" t="s">
        <v>63</v>
      </c>
      <c r="T462" s="7"/>
      <c r="U462" s="7"/>
      <c r="V462" s="7"/>
    </row>
    <row r="463" spans="2:22" ht="15.75" customHeight="1"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8"/>
      <c r="M463" s="7"/>
      <c r="N463" s="8"/>
      <c r="O463" s="8"/>
      <c r="P463" s="8"/>
      <c r="Q463" s="8"/>
      <c r="R463" s="8"/>
      <c r="S463" s="8" t="s">
        <v>63</v>
      </c>
      <c r="T463" s="7"/>
      <c r="U463" s="7"/>
      <c r="V463" s="7"/>
    </row>
    <row r="464" spans="2:22" ht="15.75" customHeight="1"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8"/>
      <c r="M464" s="7"/>
      <c r="N464" s="8"/>
      <c r="O464" s="8"/>
      <c r="P464" s="8"/>
      <c r="Q464" s="8"/>
      <c r="R464" s="8"/>
      <c r="S464" s="8" t="s">
        <v>63</v>
      </c>
      <c r="T464" s="7"/>
      <c r="U464" s="7"/>
      <c r="V464" s="7"/>
    </row>
    <row r="465" spans="2:22" ht="15.75" customHeight="1"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8"/>
      <c r="M465" s="7"/>
      <c r="N465" s="8"/>
      <c r="O465" s="8"/>
      <c r="P465" s="8"/>
      <c r="Q465" s="8"/>
      <c r="R465" s="8"/>
      <c r="S465" s="8" t="s">
        <v>63</v>
      </c>
      <c r="T465" s="7"/>
      <c r="U465" s="7"/>
      <c r="V465" s="7"/>
    </row>
    <row r="466" spans="2:22" ht="15.75" customHeight="1"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8"/>
      <c r="M466" s="7"/>
      <c r="N466" s="8"/>
      <c r="O466" s="8"/>
      <c r="P466" s="8"/>
      <c r="Q466" s="8"/>
      <c r="R466" s="8"/>
      <c r="S466" s="8" t="s">
        <v>63</v>
      </c>
      <c r="T466" s="7"/>
      <c r="U466" s="7"/>
      <c r="V466" s="7"/>
    </row>
    <row r="467" spans="2:22" ht="15.75" customHeight="1"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8"/>
      <c r="M467" s="7"/>
      <c r="N467" s="8"/>
      <c r="O467" s="8"/>
      <c r="P467" s="8"/>
      <c r="Q467" s="8"/>
      <c r="R467" s="8"/>
      <c r="S467" s="8" t="s">
        <v>63</v>
      </c>
      <c r="T467" s="7"/>
      <c r="U467" s="7"/>
      <c r="V467" s="7"/>
    </row>
    <row r="468" spans="2:22" ht="15.75" customHeight="1"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8"/>
      <c r="M468" s="7"/>
      <c r="N468" s="8"/>
      <c r="O468" s="8"/>
      <c r="P468" s="8"/>
      <c r="Q468" s="8"/>
      <c r="R468" s="8"/>
      <c r="S468" s="8" t="s">
        <v>63</v>
      </c>
      <c r="T468" s="7"/>
      <c r="U468" s="7"/>
      <c r="V468" s="7"/>
    </row>
    <row r="469" spans="2:22" ht="15.75" customHeight="1"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8"/>
      <c r="M469" s="7"/>
      <c r="N469" s="8"/>
      <c r="O469" s="8"/>
      <c r="P469" s="8"/>
      <c r="Q469" s="8"/>
      <c r="R469" s="8"/>
      <c r="S469" s="8" t="s">
        <v>63</v>
      </c>
      <c r="T469" s="7"/>
      <c r="U469" s="7"/>
      <c r="V469" s="7"/>
    </row>
    <row r="470" spans="2:22" ht="15.75" customHeight="1"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8"/>
      <c r="M470" s="7"/>
      <c r="N470" s="8"/>
      <c r="O470" s="8"/>
      <c r="P470" s="8"/>
      <c r="Q470" s="8"/>
      <c r="R470" s="8"/>
      <c r="S470" s="8" t="s">
        <v>63</v>
      </c>
      <c r="T470" s="7"/>
      <c r="U470" s="7"/>
      <c r="V470" s="7"/>
    </row>
    <row r="471" spans="2:22" ht="15.75" customHeight="1"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8"/>
      <c r="M471" s="7"/>
      <c r="N471" s="8"/>
      <c r="O471" s="8"/>
      <c r="P471" s="8"/>
      <c r="Q471" s="8"/>
      <c r="R471" s="8"/>
      <c r="S471" s="8" t="s">
        <v>63</v>
      </c>
      <c r="T471" s="7"/>
      <c r="U471" s="7"/>
      <c r="V471" s="7"/>
    </row>
    <row r="472" spans="2:22" ht="15.75" customHeight="1"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8"/>
      <c r="M472" s="7"/>
      <c r="N472" s="8"/>
      <c r="O472" s="8"/>
      <c r="P472" s="8"/>
      <c r="Q472" s="8"/>
      <c r="R472" s="8"/>
      <c r="S472" s="8" t="s">
        <v>63</v>
      </c>
      <c r="T472" s="7"/>
      <c r="U472" s="7"/>
      <c r="V472" s="7"/>
    </row>
    <row r="473" spans="2:22" ht="15.75" customHeight="1"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8"/>
      <c r="M473" s="7"/>
      <c r="N473" s="8"/>
      <c r="O473" s="8"/>
      <c r="P473" s="8"/>
      <c r="Q473" s="8"/>
      <c r="R473" s="8"/>
      <c r="S473" s="8" t="s">
        <v>63</v>
      </c>
      <c r="T473" s="7"/>
      <c r="U473" s="7"/>
      <c r="V473" s="7"/>
    </row>
    <row r="474" spans="2:22" ht="15.75" customHeight="1"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8"/>
      <c r="M474" s="7"/>
      <c r="N474" s="8"/>
      <c r="O474" s="8"/>
      <c r="P474" s="8"/>
      <c r="Q474" s="8"/>
      <c r="R474" s="8"/>
      <c r="S474" s="8" t="s">
        <v>63</v>
      </c>
      <c r="T474" s="7"/>
      <c r="U474" s="7"/>
      <c r="V474" s="7"/>
    </row>
    <row r="475" spans="2:22" ht="15.75" customHeight="1"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8"/>
      <c r="M475" s="7"/>
      <c r="N475" s="8"/>
      <c r="O475" s="8"/>
      <c r="P475" s="8"/>
      <c r="Q475" s="8"/>
      <c r="R475" s="8"/>
      <c r="S475" s="8" t="s">
        <v>63</v>
      </c>
      <c r="T475" s="7"/>
      <c r="U475" s="7"/>
      <c r="V475" s="7"/>
    </row>
    <row r="476" spans="2:22" ht="15.75" customHeight="1"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8"/>
      <c r="M476" s="7"/>
      <c r="N476" s="8"/>
      <c r="O476" s="8"/>
      <c r="P476" s="8"/>
      <c r="Q476" s="8"/>
      <c r="R476" s="8"/>
      <c r="S476" s="8" t="s">
        <v>63</v>
      </c>
      <c r="T476" s="7"/>
      <c r="U476" s="7"/>
      <c r="V476" s="7"/>
    </row>
    <row r="477" spans="2:22" ht="15.75" customHeight="1"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8"/>
      <c r="M477" s="7"/>
      <c r="N477" s="8"/>
      <c r="O477" s="8"/>
      <c r="P477" s="8"/>
      <c r="Q477" s="8"/>
      <c r="R477" s="8"/>
      <c r="S477" s="8" t="s">
        <v>63</v>
      </c>
      <c r="T477" s="7"/>
      <c r="U477" s="7"/>
      <c r="V477" s="7"/>
    </row>
    <row r="478" spans="2:22" ht="15.75" customHeight="1"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8"/>
      <c r="M478" s="7"/>
      <c r="N478" s="8"/>
      <c r="O478" s="8"/>
      <c r="P478" s="8"/>
      <c r="Q478" s="8"/>
      <c r="R478" s="8"/>
      <c r="S478" s="8" t="s">
        <v>63</v>
      </c>
      <c r="T478" s="7"/>
      <c r="U478" s="7"/>
      <c r="V478" s="7"/>
    </row>
    <row r="479" spans="2:22" ht="15.75" customHeight="1"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8"/>
      <c r="M479" s="7"/>
      <c r="N479" s="8"/>
      <c r="O479" s="8"/>
      <c r="P479" s="8"/>
      <c r="Q479" s="8"/>
      <c r="R479" s="8"/>
      <c r="S479" s="8" t="s">
        <v>63</v>
      </c>
      <c r="T479" s="7"/>
      <c r="U479" s="7"/>
      <c r="V479" s="7"/>
    </row>
    <row r="480" spans="2:22" ht="15.75" customHeight="1"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8"/>
      <c r="M480" s="7"/>
      <c r="N480" s="8"/>
      <c r="O480" s="8"/>
      <c r="P480" s="8"/>
      <c r="Q480" s="8"/>
      <c r="R480" s="8"/>
      <c r="S480" s="8" t="s">
        <v>63</v>
      </c>
      <c r="T480" s="7"/>
      <c r="U480" s="7"/>
      <c r="V480" s="7"/>
    </row>
    <row r="481" spans="2:22" ht="15.75" customHeight="1"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8"/>
      <c r="M481" s="7"/>
      <c r="N481" s="8"/>
      <c r="O481" s="8"/>
      <c r="P481" s="8"/>
      <c r="Q481" s="8"/>
      <c r="R481" s="8"/>
      <c r="S481" s="8" t="s">
        <v>63</v>
      </c>
      <c r="T481" s="7"/>
      <c r="U481" s="7"/>
      <c r="V481" s="7"/>
    </row>
    <row r="482" spans="2:22" ht="15.75" customHeight="1"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8"/>
      <c r="M482" s="7"/>
      <c r="N482" s="8"/>
      <c r="O482" s="8"/>
      <c r="P482" s="8"/>
      <c r="Q482" s="8"/>
      <c r="R482" s="8"/>
      <c r="S482" s="8" t="s">
        <v>63</v>
      </c>
      <c r="T482" s="7"/>
      <c r="U482" s="7"/>
      <c r="V482" s="7"/>
    </row>
    <row r="483" spans="2:22" ht="15.75" customHeight="1"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8"/>
      <c r="M483" s="7"/>
      <c r="N483" s="8"/>
      <c r="O483" s="8"/>
      <c r="P483" s="8"/>
      <c r="Q483" s="8"/>
      <c r="R483" s="8"/>
      <c r="S483" s="8" t="s">
        <v>63</v>
      </c>
      <c r="T483" s="7"/>
      <c r="U483" s="7"/>
      <c r="V483" s="7"/>
    </row>
    <row r="484" spans="2:22" ht="15.75" customHeight="1"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8"/>
      <c r="M484" s="7"/>
      <c r="N484" s="8"/>
      <c r="O484" s="8"/>
      <c r="P484" s="8"/>
      <c r="Q484" s="8"/>
      <c r="R484" s="8"/>
      <c r="S484" s="8" t="s">
        <v>63</v>
      </c>
      <c r="T484" s="7"/>
      <c r="U484" s="7"/>
      <c r="V484" s="7"/>
    </row>
    <row r="485" spans="2:22" ht="15.75" customHeight="1"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8"/>
      <c r="M485" s="7"/>
      <c r="N485" s="8"/>
      <c r="O485" s="8"/>
      <c r="P485" s="8"/>
      <c r="Q485" s="8"/>
      <c r="R485" s="8"/>
      <c r="S485" s="8" t="s">
        <v>63</v>
      </c>
      <c r="T485" s="7"/>
      <c r="U485" s="7"/>
      <c r="V485" s="7"/>
    </row>
    <row r="486" spans="2:22" ht="15.75" customHeight="1"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8"/>
      <c r="M486" s="7"/>
      <c r="N486" s="8"/>
      <c r="O486" s="8"/>
      <c r="P486" s="8"/>
      <c r="Q486" s="8"/>
      <c r="R486" s="8"/>
      <c r="S486" s="8" t="s">
        <v>63</v>
      </c>
      <c r="T486" s="7"/>
      <c r="U486" s="7"/>
      <c r="V486" s="7"/>
    </row>
    <row r="487" spans="2:22" ht="15.75" customHeight="1"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8"/>
      <c r="M487" s="7"/>
      <c r="N487" s="8"/>
      <c r="O487" s="8"/>
      <c r="P487" s="8"/>
      <c r="Q487" s="8"/>
      <c r="R487" s="8"/>
      <c r="S487" s="8" t="s">
        <v>63</v>
      </c>
      <c r="T487" s="7"/>
      <c r="U487" s="7"/>
      <c r="V487" s="7"/>
    </row>
    <row r="488" spans="2:22" ht="15.75" customHeight="1"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8"/>
      <c r="M488" s="7"/>
      <c r="N488" s="8"/>
      <c r="O488" s="8"/>
      <c r="P488" s="8"/>
      <c r="Q488" s="8"/>
      <c r="R488" s="8"/>
      <c r="S488" s="8" t="s">
        <v>63</v>
      </c>
      <c r="T488" s="7"/>
      <c r="U488" s="7"/>
      <c r="V488" s="7"/>
    </row>
    <row r="489" spans="2:22" ht="15.75" customHeight="1"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8"/>
      <c r="M489" s="7"/>
      <c r="N489" s="8"/>
      <c r="O489" s="8"/>
      <c r="P489" s="8"/>
      <c r="Q489" s="8"/>
      <c r="R489" s="8"/>
      <c r="S489" s="8" t="s">
        <v>63</v>
      </c>
      <c r="T489" s="7"/>
      <c r="U489" s="7"/>
      <c r="V489" s="7"/>
    </row>
    <row r="490" spans="2:22" ht="15.75" customHeight="1"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8"/>
      <c r="M490" s="7"/>
      <c r="N490" s="8"/>
      <c r="O490" s="8"/>
      <c r="P490" s="8"/>
      <c r="Q490" s="8"/>
      <c r="R490" s="8"/>
      <c r="S490" s="8" t="s">
        <v>63</v>
      </c>
      <c r="T490" s="7"/>
      <c r="U490" s="7"/>
      <c r="V490" s="7"/>
    </row>
    <row r="491" spans="2:22" ht="15.75" customHeight="1"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8"/>
      <c r="M491" s="7"/>
      <c r="N491" s="8"/>
      <c r="O491" s="8"/>
      <c r="P491" s="8"/>
      <c r="Q491" s="8"/>
      <c r="R491" s="8"/>
      <c r="S491" s="8" t="s">
        <v>63</v>
      </c>
      <c r="T491" s="7"/>
      <c r="U491" s="7"/>
      <c r="V491" s="7"/>
    </row>
    <row r="492" spans="2:22" ht="15.75" customHeight="1"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8"/>
      <c r="M492" s="7"/>
      <c r="N492" s="8"/>
      <c r="O492" s="8"/>
      <c r="P492" s="8"/>
      <c r="Q492" s="8"/>
      <c r="R492" s="8"/>
      <c r="S492" s="8" t="s">
        <v>63</v>
      </c>
      <c r="T492" s="7"/>
      <c r="U492" s="7"/>
      <c r="V492" s="7"/>
    </row>
    <row r="493" spans="2:22" ht="15.75" customHeight="1"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8"/>
      <c r="M493" s="7"/>
      <c r="N493" s="8"/>
      <c r="O493" s="8"/>
      <c r="P493" s="8"/>
      <c r="Q493" s="8"/>
      <c r="R493" s="8"/>
      <c r="S493" s="8" t="s">
        <v>63</v>
      </c>
      <c r="T493" s="7"/>
      <c r="U493" s="7"/>
      <c r="V493" s="7"/>
    </row>
    <row r="494" spans="2:22" ht="15.75" customHeight="1"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8"/>
      <c r="M494" s="7"/>
      <c r="N494" s="8"/>
      <c r="O494" s="8"/>
      <c r="P494" s="8"/>
      <c r="Q494" s="8"/>
      <c r="R494" s="8"/>
      <c r="S494" s="8" t="s">
        <v>63</v>
      </c>
      <c r="T494" s="7"/>
      <c r="U494" s="7"/>
      <c r="V494" s="7"/>
    </row>
    <row r="495" spans="2:22" ht="15.75" customHeight="1"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8"/>
      <c r="M495" s="7"/>
      <c r="N495" s="8"/>
      <c r="O495" s="8"/>
      <c r="P495" s="8"/>
      <c r="Q495" s="8"/>
      <c r="R495" s="8"/>
      <c r="S495" s="8" t="s">
        <v>63</v>
      </c>
      <c r="T495" s="7"/>
      <c r="U495" s="7"/>
      <c r="V495" s="7"/>
    </row>
    <row r="496" spans="2:22" ht="15.75" customHeight="1"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8"/>
      <c r="M496" s="7"/>
      <c r="N496" s="8"/>
      <c r="O496" s="8"/>
      <c r="P496" s="8"/>
      <c r="Q496" s="8"/>
      <c r="R496" s="8"/>
      <c r="S496" s="8" t="s">
        <v>63</v>
      </c>
      <c r="T496" s="7"/>
      <c r="U496" s="7"/>
      <c r="V496" s="7"/>
    </row>
    <row r="497" spans="2:22" ht="15.75" customHeight="1"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8"/>
      <c r="M497" s="7"/>
      <c r="N497" s="8"/>
      <c r="O497" s="8"/>
      <c r="P497" s="8"/>
      <c r="Q497" s="8"/>
      <c r="R497" s="8"/>
      <c r="S497" s="8" t="s">
        <v>63</v>
      </c>
      <c r="T497" s="7"/>
      <c r="U497" s="7"/>
      <c r="V497" s="7"/>
    </row>
    <row r="498" spans="2:22" ht="15.75" customHeight="1"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8"/>
      <c r="M498" s="7"/>
      <c r="N498" s="8"/>
      <c r="O498" s="8"/>
      <c r="P498" s="8"/>
      <c r="Q498" s="8"/>
      <c r="R498" s="8"/>
      <c r="S498" s="8" t="s">
        <v>63</v>
      </c>
      <c r="T498" s="7"/>
      <c r="U498" s="7"/>
      <c r="V498" s="7"/>
    </row>
    <row r="499" spans="2:22" ht="15.75" customHeight="1"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8"/>
      <c r="M499" s="7"/>
      <c r="N499" s="8"/>
      <c r="O499" s="8"/>
      <c r="P499" s="8"/>
      <c r="Q499" s="8"/>
      <c r="R499" s="8"/>
      <c r="S499" s="8" t="s">
        <v>63</v>
      </c>
      <c r="T499" s="7"/>
      <c r="U499" s="7"/>
      <c r="V499" s="7"/>
    </row>
    <row r="500" spans="2:22" ht="15.75" customHeight="1"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8"/>
      <c r="M500" s="7"/>
      <c r="N500" s="8"/>
      <c r="O500" s="8"/>
      <c r="P500" s="8"/>
      <c r="Q500" s="8"/>
      <c r="R500" s="8"/>
      <c r="S500" s="8" t="s">
        <v>63</v>
      </c>
      <c r="T500" s="7"/>
      <c r="U500" s="7"/>
      <c r="V500" s="7"/>
    </row>
    <row r="501" spans="2:22" ht="15.75" customHeight="1"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8"/>
      <c r="M501" s="7"/>
      <c r="N501" s="8"/>
      <c r="O501" s="8"/>
      <c r="P501" s="8"/>
      <c r="Q501" s="8"/>
      <c r="R501" s="8"/>
      <c r="S501" s="8" t="s">
        <v>63</v>
      </c>
      <c r="T501" s="7"/>
      <c r="U501" s="7"/>
      <c r="V501" s="7"/>
    </row>
    <row r="502" spans="2:22" ht="15.75" customHeight="1"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8"/>
      <c r="M502" s="7"/>
      <c r="N502" s="8"/>
      <c r="O502" s="8"/>
      <c r="P502" s="8"/>
      <c r="Q502" s="8"/>
      <c r="R502" s="8"/>
      <c r="S502" s="8" t="s">
        <v>63</v>
      </c>
      <c r="T502" s="7"/>
      <c r="U502" s="7"/>
      <c r="V502" s="7"/>
    </row>
    <row r="503" spans="2:22" ht="15.75" customHeight="1"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8"/>
      <c r="M503" s="7"/>
      <c r="N503" s="8"/>
      <c r="O503" s="8"/>
      <c r="P503" s="8"/>
      <c r="Q503" s="8"/>
      <c r="R503" s="8"/>
      <c r="S503" s="8" t="s">
        <v>63</v>
      </c>
      <c r="T503" s="7"/>
      <c r="U503" s="7"/>
      <c r="V503" s="7"/>
    </row>
    <row r="504" spans="2:22" ht="15.75" customHeight="1"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8"/>
      <c r="M504" s="7"/>
      <c r="N504" s="8"/>
      <c r="O504" s="8"/>
      <c r="P504" s="8"/>
      <c r="Q504" s="8"/>
      <c r="R504" s="8"/>
      <c r="S504" s="8" t="s">
        <v>63</v>
      </c>
      <c r="T504" s="7"/>
      <c r="U504" s="7"/>
      <c r="V504" s="7"/>
    </row>
    <row r="505" spans="2:22" ht="15.75" customHeight="1"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8"/>
      <c r="M505" s="7"/>
      <c r="N505" s="8"/>
      <c r="O505" s="8"/>
      <c r="P505" s="8"/>
      <c r="Q505" s="8"/>
      <c r="R505" s="8"/>
      <c r="S505" s="8" t="s">
        <v>63</v>
      </c>
      <c r="T505" s="7"/>
      <c r="U505" s="7"/>
      <c r="V505" s="7"/>
    </row>
    <row r="506" spans="2:22" ht="15.75" customHeight="1"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8"/>
      <c r="M506" s="7"/>
      <c r="N506" s="8"/>
      <c r="O506" s="8"/>
      <c r="P506" s="8"/>
      <c r="Q506" s="8"/>
      <c r="R506" s="8"/>
      <c r="S506" s="8" t="s">
        <v>63</v>
      </c>
      <c r="T506" s="7"/>
      <c r="U506" s="7"/>
      <c r="V506" s="7"/>
    </row>
    <row r="507" spans="2:22" ht="15.75" customHeight="1"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8"/>
      <c r="M507" s="7"/>
      <c r="N507" s="8"/>
      <c r="O507" s="8"/>
      <c r="P507" s="8"/>
      <c r="Q507" s="8"/>
      <c r="R507" s="8"/>
      <c r="S507" s="8" t="s">
        <v>63</v>
      </c>
      <c r="T507" s="7"/>
      <c r="U507" s="7"/>
      <c r="V507" s="7"/>
    </row>
    <row r="508" spans="2:22" ht="15.75" customHeight="1"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8"/>
      <c r="M508" s="7"/>
      <c r="N508" s="8"/>
      <c r="O508" s="8"/>
      <c r="P508" s="8"/>
      <c r="Q508" s="8"/>
      <c r="R508" s="8"/>
      <c r="S508" s="8" t="s">
        <v>63</v>
      </c>
      <c r="T508" s="7"/>
      <c r="U508" s="7"/>
      <c r="V508" s="7"/>
    </row>
    <row r="509" spans="2:22" ht="15.75" customHeight="1"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8"/>
      <c r="M509" s="7"/>
      <c r="N509" s="8"/>
      <c r="O509" s="8"/>
      <c r="P509" s="8"/>
      <c r="Q509" s="8"/>
      <c r="R509" s="8"/>
      <c r="S509" s="8" t="s">
        <v>63</v>
      </c>
      <c r="T509" s="7"/>
      <c r="U509" s="7"/>
      <c r="V509" s="7"/>
    </row>
    <row r="510" spans="2:22" ht="15.75" customHeight="1"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8"/>
      <c r="M510" s="7"/>
      <c r="N510" s="8"/>
      <c r="O510" s="8"/>
      <c r="P510" s="8"/>
      <c r="Q510" s="8"/>
      <c r="R510" s="8"/>
      <c r="S510" s="8" t="s">
        <v>63</v>
      </c>
      <c r="T510" s="7"/>
      <c r="U510" s="7"/>
      <c r="V510" s="7"/>
    </row>
    <row r="511" spans="2:22" ht="15.75" customHeight="1"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8"/>
      <c r="M511" s="7"/>
      <c r="N511" s="8"/>
      <c r="O511" s="8"/>
      <c r="P511" s="8"/>
      <c r="Q511" s="8"/>
      <c r="R511" s="8"/>
      <c r="S511" s="8" t="s">
        <v>63</v>
      </c>
      <c r="T511" s="7"/>
      <c r="U511" s="7"/>
      <c r="V511" s="7"/>
    </row>
    <row r="512" spans="2:22" ht="15.75" customHeight="1"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8"/>
      <c r="M512" s="7"/>
      <c r="N512" s="8"/>
      <c r="O512" s="8"/>
      <c r="P512" s="8"/>
      <c r="Q512" s="8"/>
      <c r="R512" s="8"/>
      <c r="S512" s="8" t="s">
        <v>63</v>
      </c>
      <c r="T512" s="7"/>
      <c r="U512" s="7"/>
      <c r="V512" s="7"/>
    </row>
    <row r="513" spans="2:22" ht="15.75" customHeight="1"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8"/>
      <c r="M513" s="7"/>
      <c r="N513" s="8"/>
      <c r="O513" s="8"/>
      <c r="P513" s="8"/>
      <c r="Q513" s="8"/>
      <c r="R513" s="8"/>
      <c r="S513" s="8" t="s">
        <v>63</v>
      </c>
      <c r="T513" s="7"/>
      <c r="U513" s="7"/>
      <c r="V513" s="7"/>
    </row>
    <row r="514" spans="2:22" ht="15.75" customHeight="1"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8"/>
      <c r="M514" s="7"/>
      <c r="N514" s="8"/>
      <c r="O514" s="8"/>
      <c r="P514" s="8"/>
      <c r="Q514" s="8"/>
      <c r="R514" s="8"/>
      <c r="S514" s="8" t="s">
        <v>63</v>
      </c>
      <c r="T514" s="7"/>
      <c r="U514" s="7"/>
      <c r="V514" s="7"/>
    </row>
    <row r="515" spans="2:22" ht="15.75" customHeight="1"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8"/>
      <c r="M515" s="7"/>
      <c r="N515" s="8"/>
      <c r="O515" s="8"/>
      <c r="P515" s="8"/>
      <c r="Q515" s="8"/>
      <c r="R515" s="8"/>
      <c r="S515" s="8" t="s">
        <v>63</v>
      </c>
      <c r="T515" s="7"/>
      <c r="U515" s="7"/>
      <c r="V515" s="7"/>
    </row>
    <row r="516" spans="2:22" ht="15.75" customHeight="1"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8"/>
      <c r="M516" s="7"/>
      <c r="N516" s="8"/>
      <c r="O516" s="8"/>
      <c r="P516" s="8"/>
      <c r="Q516" s="8"/>
      <c r="R516" s="8"/>
      <c r="S516" s="8" t="s">
        <v>63</v>
      </c>
      <c r="T516" s="7"/>
      <c r="U516" s="7"/>
      <c r="V516" s="7"/>
    </row>
    <row r="517" spans="2:22" ht="15.75" customHeight="1"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8"/>
      <c r="M517" s="7"/>
      <c r="N517" s="8"/>
      <c r="O517" s="8"/>
      <c r="P517" s="8"/>
      <c r="Q517" s="8"/>
      <c r="R517" s="8"/>
      <c r="S517" s="8" t="s">
        <v>63</v>
      </c>
      <c r="T517" s="7"/>
      <c r="U517" s="7"/>
      <c r="V517" s="7"/>
    </row>
    <row r="518" spans="2:22" ht="15.75" customHeight="1"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8"/>
      <c r="M518" s="7"/>
      <c r="N518" s="8"/>
      <c r="O518" s="8"/>
      <c r="P518" s="8"/>
      <c r="Q518" s="8"/>
      <c r="R518" s="8"/>
      <c r="S518" s="8" t="s">
        <v>63</v>
      </c>
      <c r="T518" s="7"/>
      <c r="U518" s="7"/>
      <c r="V518" s="7"/>
    </row>
    <row r="519" spans="2:22" ht="15.75" customHeight="1"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8"/>
      <c r="M519" s="7"/>
      <c r="N519" s="8"/>
      <c r="O519" s="8"/>
      <c r="P519" s="8"/>
      <c r="Q519" s="8"/>
      <c r="R519" s="8"/>
      <c r="S519" s="8" t="s">
        <v>63</v>
      </c>
      <c r="T519" s="7"/>
      <c r="U519" s="7"/>
      <c r="V519" s="7"/>
    </row>
    <row r="520" spans="2:22" ht="15.75" customHeight="1"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8"/>
      <c r="M520" s="7"/>
      <c r="N520" s="8"/>
      <c r="O520" s="8"/>
      <c r="P520" s="8"/>
      <c r="Q520" s="8"/>
      <c r="R520" s="8"/>
      <c r="S520" s="8" t="s">
        <v>63</v>
      </c>
      <c r="T520" s="7"/>
      <c r="U520" s="7"/>
      <c r="V520" s="7"/>
    </row>
    <row r="521" spans="2:22" ht="15.75" customHeight="1"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8"/>
      <c r="M521" s="7"/>
      <c r="N521" s="8"/>
      <c r="O521" s="8"/>
      <c r="P521" s="8"/>
      <c r="Q521" s="8"/>
      <c r="R521" s="8"/>
      <c r="S521" s="8" t="s">
        <v>63</v>
      </c>
      <c r="T521" s="7"/>
      <c r="U521" s="7"/>
      <c r="V521" s="7"/>
    </row>
    <row r="522" spans="2:22" ht="15.75" customHeight="1"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8"/>
      <c r="M522" s="7"/>
      <c r="N522" s="8"/>
      <c r="O522" s="8"/>
      <c r="P522" s="8"/>
      <c r="Q522" s="8"/>
      <c r="R522" s="8"/>
      <c r="S522" s="8" t="s">
        <v>63</v>
      </c>
      <c r="T522" s="7"/>
      <c r="U522" s="7"/>
      <c r="V522" s="7"/>
    </row>
    <row r="523" spans="2:22" ht="15.75" customHeight="1"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8"/>
      <c r="M523" s="7"/>
      <c r="N523" s="8"/>
      <c r="O523" s="8"/>
      <c r="P523" s="8"/>
      <c r="Q523" s="8"/>
      <c r="R523" s="8"/>
      <c r="S523" s="8" t="s">
        <v>63</v>
      </c>
      <c r="T523" s="7"/>
      <c r="U523" s="7"/>
      <c r="V523" s="7"/>
    </row>
    <row r="524" spans="2:22" ht="15.75" customHeight="1"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8"/>
      <c r="M524" s="7"/>
      <c r="N524" s="8"/>
      <c r="O524" s="8"/>
      <c r="P524" s="8"/>
      <c r="Q524" s="8"/>
      <c r="R524" s="8"/>
      <c r="S524" s="8" t="s">
        <v>63</v>
      </c>
      <c r="T524" s="7"/>
      <c r="U524" s="7"/>
      <c r="V524" s="7"/>
    </row>
    <row r="525" spans="2:22" ht="15.75" customHeight="1"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8"/>
      <c r="M525" s="7"/>
      <c r="N525" s="8"/>
      <c r="O525" s="8"/>
      <c r="P525" s="8"/>
      <c r="Q525" s="8"/>
      <c r="R525" s="8"/>
      <c r="S525" s="8" t="s">
        <v>63</v>
      </c>
      <c r="T525" s="7"/>
      <c r="U525" s="7"/>
      <c r="V525" s="7"/>
    </row>
    <row r="526" spans="2:22" ht="15.75" customHeight="1"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8"/>
      <c r="M526" s="7"/>
      <c r="N526" s="8"/>
      <c r="O526" s="8"/>
      <c r="P526" s="8"/>
      <c r="Q526" s="8"/>
      <c r="R526" s="8"/>
      <c r="S526" s="8" t="s">
        <v>63</v>
      </c>
      <c r="T526" s="7"/>
      <c r="U526" s="7"/>
      <c r="V526" s="7"/>
    </row>
    <row r="527" spans="2:22" ht="15.75" customHeight="1"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8"/>
      <c r="M527" s="7"/>
      <c r="N527" s="8"/>
      <c r="O527" s="8"/>
      <c r="P527" s="8"/>
      <c r="Q527" s="8"/>
      <c r="R527" s="8"/>
      <c r="S527" s="8" t="s">
        <v>63</v>
      </c>
      <c r="T527" s="7"/>
      <c r="U527" s="7"/>
      <c r="V527" s="7"/>
    </row>
    <row r="528" spans="2:22" ht="15.75" customHeight="1"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8"/>
      <c r="M528" s="7"/>
      <c r="N528" s="8"/>
      <c r="O528" s="8"/>
      <c r="P528" s="8"/>
      <c r="Q528" s="8"/>
      <c r="R528" s="8"/>
      <c r="S528" s="8" t="s">
        <v>63</v>
      </c>
      <c r="T528" s="7"/>
      <c r="U528" s="7"/>
      <c r="V528" s="7"/>
    </row>
    <row r="529" spans="2:22" ht="15.75" customHeight="1"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8"/>
      <c r="M529" s="7"/>
      <c r="N529" s="8"/>
      <c r="O529" s="8"/>
      <c r="P529" s="8"/>
      <c r="Q529" s="8"/>
      <c r="R529" s="8"/>
      <c r="S529" s="8" t="s">
        <v>63</v>
      </c>
      <c r="T529" s="7"/>
      <c r="U529" s="7"/>
      <c r="V529" s="7"/>
    </row>
    <row r="530" spans="2:22" ht="15.75" customHeight="1"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8"/>
      <c r="M530" s="7"/>
      <c r="N530" s="8"/>
      <c r="O530" s="8"/>
      <c r="P530" s="8"/>
      <c r="Q530" s="8"/>
      <c r="R530" s="8"/>
      <c r="S530" s="8" t="s">
        <v>63</v>
      </c>
      <c r="T530" s="7"/>
      <c r="U530" s="7"/>
      <c r="V530" s="7"/>
    </row>
    <row r="531" spans="2:22" ht="15.75" customHeight="1"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8"/>
      <c r="M531" s="7"/>
      <c r="N531" s="8"/>
      <c r="O531" s="8"/>
      <c r="P531" s="8"/>
      <c r="Q531" s="8"/>
      <c r="R531" s="8"/>
      <c r="S531" s="8" t="s">
        <v>63</v>
      </c>
      <c r="T531" s="7"/>
      <c r="U531" s="7"/>
      <c r="V531" s="7"/>
    </row>
    <row r="532" spans="2:22" ht="15.75" customHeight="1"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8"/>
      <c r="M532" s="7"/>
      <c r="N532" s="8"/>
      <c r="O532" s="8"/>
      <c r="P532" s="8"/>
      <c r="Q532" s="8"/>
      <c r="R532" s="8"/>
      <c r="S532" s="8" t="s">
        <v>63</v>
      </c>
      <c r="T532" s="7"/>
      <c r="U532" s="7"/>
      <c r="V532" s="7"/>
    </row>
    <row r="533" spans="2:22" ht="15.75" customHeight="1"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8"/>
      <c r="M533" s="7"/>
      <c r="N533" s="8"/>
      <c r="O533" s="8"/>
      <c r="P533" s="8"/>
      <c r="Q533" s="8"/>
      <c r="R533" s="8"/>
      <c r="S533" s="8" t="s">
        <v>63</v>
      </c>
      <c r="T533" s="7"/>
      <c r="U533" s="7"/>
      <c r="V533" s="7"/>
    </row>
    <row r="534" spans="2:22" ht="15.75" customHeight="1"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8"/>
      <c r="M534" s="7"/>
      <c r="N534" s="8"/>
      <c r="O534" s="8"/>
      <c r="P534" s="8"/>
      <c r="Q534" s="8"/>
      <c r="R534" s="8"/>
      <c r="S534" s="8" t="s">
        <v>63</v>
      </c>
      <c r="T534" s="7"/>
      <c r="U534" s="7"/>
      <c r="V534" s="7"/>
    </row>
    <row r="535" spans="2:22" ht="15.75" customHeight="1"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8"/>
      <c r="M535" s="7"/>
      <c r="N535" s="8"/>
      <c r="O535" s="8"/>
      <c r="P535" s="8"/>
      <c r="Q535" s="8"/>
      <c r="R535" s="8"/>
      <c r="S535" s="8" t="s">
        <v>63</v>
      </c>
      <c r="T535" s="7"/>
      <c r="U535" s="7"/>
      <c r="V535" s="7"/>
    </row>
    <row r="536" spans="2:22" ht="15.75" customHeight="1"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8"/>
      <c r="M536" s="7"/>
      <c r="N536" s="8"/>
      <c r="O536" s="8"/>
      <c r="P536" s="8"/>
      <c r="Q536" s="8"/>
      <c r="R536" s="8"/>
      <c r="S536" s="8" t="s">
        <v>63</v>
      </c>
      <c r="T536" s="7"/>
      <c r="U536" s="7"/>
      <c r="V536" s="7"/>
    </row>
    <row r="537" spans="2:22" ht="15.75" customHeight="1"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8"/>
      <c r="M537" s="7"/>
      <c r="N537" s="8"/>
      <c r="O537" s="8"/>
      <c r="P537" s="8"/>
      <c r="Q537" s="8"/>
      <c r="R537" s="8"/>
      <c r="S537" s="8" t="s">
        <v>63</v>
      </c>
      <c r="T537" s="7"/>
      <c r="U537" s="7"/>
      <c r="V537" s="7"/>
    </row>
    <row r="538" spans="2:22" ht="15.75" customHeight="1"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8"/>
      <c r="M538" s="7"/>
      <c r="N538" s="8"/>
      <c r="O538" s="8"/>
      <c r="P538" s="8"/>
      <c r="Q538" s="8"/>
      <c r="R538" s="8"/>
      <c r="S538" s="8" t="s">
        <v>63</v>
      </c>
      <c r="T538" s="7"/>
      <c r="U538" s="7"/>
      <c r="V538" s="7"/>
    </row>
    <row r="539" spans="2:22" ht="15.75" customHeight="1"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8"/>
      <c r="M539" s="7"/>
      <c r="N539" s="8"/>
      <c r="O539" s="8"/>
      <c r="P539" s="8"/>
      <c r="Q539" s="8"/>
      <c r="R539" s="8"/>
      <c r="S539" s="8" t="s">
        <v>63</v>
      </c>
      <c r="T539" s="7"/>
      <c r="U539" s="7"/>
      <c r="V539" s="7"/>
    </row>
    <row r="540" spans="2:22" ht="15.75" customHeight="1"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8"/>
      <c r="M540" s="7"/>
      <c r="N540" s="8"/>
      <c r="O540" s="8"/>
      <c r="P540" s="8"/>
      <c r="Q540" s="8"/>
      <c r="R540" s="8"/>
      <c r="S540" s="8" t="s">
        <v>63</v>
      </c>
      <c r="T540" s="7"/>
      <c r="U540" s="7"/>
      <c r="V540" s="7"/>
    </row>
    <row r="541" spans="2:22" ht="15.75" customHeight="1"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8"/>
      <c r="M541" s="7"/>
      <c r="N541" s="8"/>
      <c r="O541" s="8"/>
      <c r="P541" s="8"/>
      <c r="Q541" s="8"/>
      <c r="R541" s="8"/>
      <c r="S541" s="8" t="s">
        <v>63</v>
      </c>
      <c r="T541" s="7"/>
      <c r="U541" s="7"/>
      <c r="V541" s="7"/>
    </row>
    <row r="542" spans="2:22" ht="15.75" customHeight="1"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8"/>
      <c r="M542" s="7"/>
      <c r="N542" s="8"/>
      <c r="O542" s="8"/>
      <c r="P542" s="8"/>
      <c r="Q542" s="8"/>
      <c r="R542" s="8"/>
      <c r="S542" s="8" t="s">
        <v>63</v>
      </c>
      <c r="T542" s="7"/>
      <c r="U542" s="7"/>
      <c r="V542" s="7"/>
    </row>
    <row r="543" spans="2:22" ht="15.75" customHeight="1"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8"/>
      <c r="M543" s="7"/>
      <c r="N543" s="8"/>
      <c r="O543" s="8"/>
      <c r="P543" s="8"/>
      <c r="Q543" s="8"/>
      <c r="R543" s="8"/>
      <c r="S543" s="8" t="s">
        <v>63</v>
      </c>
      <c r="T543" s="7"/>
      <c r="U543" s="7"/>
      <c r="V543" s="7"/>
    </row>
    <row r="544" spans="2:22" ht="15.75" customHeight="1"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8"/>
      <c r="M544" s="7"/>
      <c r="N544" s="8"/>
      <c r="O544" s="8"/>
      <c r="P544" s="8"/>
      <c r="Q544" s="8"/>
      <c r="R544" s="8"/>
      <c r="S544" s="8" t="s">
        <v>63</v>
      </c>
      <c r="T544" s="7"/>
      <c r="U544" s="7"/>
      <c r="V544" s="7"/>
    </row>
    <row r="545" spans="2:22" ht="15.75" customHeight="1"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8"/>
      <c r="M545" s="7"/>
      <c r="N545" s="8"/>
      <c r="O545" s="8"/>
      <c r="P545" s="8"/>
      <c r="Q545" s="8"/>
      <c r="R545" s="8"/>
      <c r="S545" s="8" t="s">
        <v>63</v>
      </c>
      <c r="T545" s="7"/>
      <c r="U545" s="7"/>
      <c r="V545" s="7"/>
    </row>
    <row r="546" spans="2:22" ht="15.75" customHeight="1"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8"/>
      <c r="M546" s="7"/>
      <c r="N546" s="8"/>
      <c r="O546" s="8"/>
      <c r="P546" s="8"/>
      <c r="Q546" s="8"/>
      <c r="R546" s="8"/>
      <c r="S546" s="8" t="s">
        <v>63</v>
      </c>
      <c r="T546" s="7"/>
      <c r="U546" s="7"/>
      <c r="V546" s="7"/>
    </row>
    <row r="547" spans="2:22" ht="15.75" customHeight="1"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8"/>
      <c r="M547" s="7"/>
      <c r="N547" s="8"/>
      <c r="O547" s="8"/>
      <c r="P547" s="8"/>
      <c r="Q547" s="8"/>
      <c r="R547" s="8"/>
      <c r="S547" s="8" t="s">
        <v>63</v>
      </c>
      <c r="T547" s="7"/>
      <c r="U547" s="7"/>
      <c r="V547" s="7"/>
    </row>
    <row r="548" spans="2:22" ht="15.75" customHeight="1"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8"/>
      <c r="M548" s="7"/>
      <c r="N548" s="8"/>
      <c r="O548" s="8"/>
      <c r="P548" s="8"/>
      <c r="Q548" s="8"/>
      <c r="R548" s="8"/>
      <c r="S548" s="8" t="s">
        <v>63</v>
      </c>
      <c r="T548" s="7"/>
      <c r="U548" s="7"/>
      <c r="V548" s="7"/>
    </row>
    <row r="549" spans="2:22" ht="15.75" customHeight="1"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8"/>
      <c r="M549" s="7"/>
      <c r="N549" s="8"/>
      <c r="O549" s="8"/>
      <c r="P549" s="8"/>
      <c r="Q549" s="8"/>
      <c r="R549" s="8"/>
      <c r="S549" s="8" t="s">
        <v>63</v>
      </c>
      <c r="T549" s="7"/>
      <c r="U549" s="7"/>
      <c r="V549" s="7"/>
    </row>
    <row r="550" spans="2:22" ht="15.75" customHeight="1"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8"/>
      <c r="M550" s="7"/>
      <c r="N550" s="8"/>
      <c r="O550" s="8"/>
      <c r="P550" s="8"/>
      <c r="Q550" s="8"/>
      <c r="R550" s="8"/>
      <c r="S550" s="8" t="s">
        <v>63</v>
      </c>
      <c r="T550" s="7"/>
      <c r="U550" s="7"/>
      <c r="V550" s="7"/>
    </row>
    <row r="551" spans="2:22" ht="15.75" customHeight="1"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8"/>
      <c r="M551" s="7"/>
      <c r="N551" s="8"/>
      <c r="O551" s="8"/>
      <c r="P551" s="8"/>
      <c r="Q551" s="8"/>
      <c r="R551" s="8"/>
      <c r="S551" s="8" t="s">
        <v>63</v>
      </c>
      <c r="T551" s="7"/>
      <c r="U551" s="7"/>
      <c r="V551" s="7"/>
    </row>
    <row r="552" spans="2:22" ht="15.75" customHeight="1"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8"/>
      <c r="M552" s="7"/>
      <c r="N552" s="8"/>
      <c r="O552" s="8"/>
      <c r="P552" s="8"/>
      <c r="Q552" s="8"/>
      <c r="R552" s="8"/>
      <c r="S552" s="8" t="s">
        <v>63</v>
      </c>
      <c r="T552" s="7"/>
      <c r="U552" s="7"/>
      <c r="V552" s="7"/>
    </row>
    <row r="553" spans="2:22" ht="15.75" customHeight="1"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8"/>
      <c r="M553" s="7"/>
      <c r="N553" s="8"/>
      <c r="O553" s="8"/>
      <c r="P553" s="8"/>
      <c r="Q553" s="8"/>
      <c r="R553" s="8"/>
      <c r="S553" s="8" t="s">
        <v>63</v>
      </c>
      <c r="T553" s="7"/>
      <c r="U553" s="7"/>
      <c r="V553" s="7"/>
    </row>
    <row r="554" spans="2:22" ht="15.75" customHeight="1"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8"/>
      <c r="M554" s="7"/>
      <c r="N554" s="8"/>
      <c r="O554" s="8"/>
      <c r="P554" s="8"/>
      <c r="Q554" s="8"/>
      <c r="R554" s="8"/>
      <c r="S554" s="8" t="s">
        <v>63</v>
      </c>
      <c r="T554" s="7"/>
      <c r="U554" s="7"/>
      <c r="V554" s="7"/>
    </row>
    <row r="555" spans="2:22" ht="15.75" customHeight="1"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8"/>
      <c r="M555" s="7"/>
      <c r="N555" s="8"/>
      <c r="O555" s="8"/>
      <c r="P555" s="8"/>
      <c r="Q555" s="8"/>
      <c r="R555" s="8"/>
      <c r="S555" s="8" t="s">
        <v>63</v>
      </c>
      <c r="T555" s="7"/>
      <c r="U555" s="7"/>
      <c r="V555" s="7"/>
    </row>
    <row r="556" spans="2:22" ht="15.75" customHeight="1"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8"/>
      <c r="M556" s="7"/>
      <c r="N556" s="8"/>
      <c r="O556" s="8"/>
      <c r="P556" s="8"/>
      <c r="Q556" s="8"/>
      <c r="R556" s="8"/>
      <c r="S556" s="8" t="s">
        <v>63</v>
      </c>
      <c r="T556" s="7"/>
      <c r="U556" s="7"/>
      <c r="V556" s="7"/>
    </row>
    <row r="557" spans="2:22" ht="15.75" customHeight="1"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8"/>
      <c r="M557" s="7"/>
      <c r="N557" s="8"/>
      <c r="O557" s="8"/>
      <c r="P557" s="8"/>
      <c r="Q557" s="8"/>
      <c r="R557" s="8"/>
      <c r="S557" s="8" t="s">
        <v>63</v>
      </c>
      <c r="T557" s="7"/>
      <c r="U557" s="7"/>
      <c r="V557" s="7"/>
    </row>
    <row r="558" spans="2:22" ht="15.75" customHeight="1"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8"/>
      <c r="M558" s="7"/>
      <c r="N558" s="8"/>
      <c r="O558" s="8"/>
      <c r="P558" s="8"/>
      <c r="Q558" s="8"/>
      <c r="R558" s="8"/>
      <c r="S558" s="8" t="s">
        <v>63</v>
      </c>
      <c r="T558" s="7"/>
      <c r="U558" s="7"/>
      <c r="V558" s="7"/>
    </row>
    <row r="559" spans="2:22" ht="15.75" customHeight="1"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8"/>
      <c r="M559" s="7"/>
      <c r="N559" s="8"/>
      <c r="O559" s="8"/>
      <c r="P559" s="8"/>
      <c r="Q559" s="8"/>
      <c r="R559" s="8"/>
      <c r="S559" s="8" t="s">
        <v>63</v>
      </c>
      <c r="T559" s="7"/>
      <c r="U559" s="7"/>
      <c r="V559" s="7"/>
    </row>
    <row r="560" spans="2:22" ht="15.75" customHeight="1"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8"/>
      <c r="M560" s="7"/>
      <c r="N560" s="8"/>
      <c r="O560" s="8"/>
      <c r="P560" s="8"/>
      <c r="Q560" s="8"/>
      <c r="R560" s="8"/>
      <c r="S560" s="8" t="s">
        <v>63</v>
      </c>
      <c r="T560" s="7"/>
      <c r="U560" s="7"/>
      <c r="V560" s="7"/>
    </row>
    <row r="561" spans="2:22" ht="15.75" customHeight="1"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8"/>
      <c r="M561" s="7"/>
      <c r="N561" s="8"/>
      <c r="O561" s="8"/>
      <c r="P561" s="8"/>
      <c r="Q561" s="8"/>
      <c r="R561" s="8"/>
      <c r="S561" s="8" t="s">
        <v>63</v>
      </c>
      <c r="T561" s="7"/>
      <c r="U561" s="7"/>
      <c r="V561" s="7"/>
    </row>
    <row r="562" spans="2:22" ht="15.75" customHeight="1"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8"/>
      <c r="M562" s="7"/>
      <c r="N562" s="8"/>
      <c r="O562" s="8"/>
      <c r="P562" s="8"/>
      <c r="Q562" s="8"/>
      <c r="R562" s="8"/>
      <c r="S562" s="8" t="s">
        <v>63</v>
      </c>
      <c r="T562" s="7"/>
      <c r="U562" s="7"/>
      <c r="V562" s="7"/>
    </row>
    <row r="563" spans="2:22" ht="15.75" customHeight="1"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8"/>
      <c r="M563" s="7"/>
      <c r="N563" s="8"/>
      <c r="O563" s="8"/>
      <c r="P563" s="8"/>
      <c r="Q563" s="8"/>
      <c r="R563" s="8"/>
      <c r="S563" s="8" t="s">
        <v>63</v>
      </c>
      <c r="T563" s="7"/>
      <c r="U563" s="7"/>
      <c r="V563" s="7"/>
    </row>
    <row r="564" spans="2:22" ht="15.75" customHeight="1"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8"/>
      <c r="M564" s="7"/>
      <c r="N564" s="8"/>
      <c r="O564" s="8"/>
      <c r="P564" s="8"/>
      <c r="Q564" s="8"/>
      <c r="R564" s="8"/>
      <c r="S564" s="8" t="s">
        <v>63</v>
      </c>
      <c r="T564" s="7"/>
      <c r="U564" s="7"/>
      <c r="V564" s="7"/>
    </row>
    <row r="565" spans="2:22" ht="15.75" customHeight="1"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8"/>
      <c r="M565" s="7"/>
      <c r="N565" s="8"/>
      <c r="O565" s="8"/>
      <c r="P565" s="8"/>
      <c r="Q565" s="8"/>
      <c r="R565" s="8"/>
      <c r="S565" s="8" t="s">
        <v>63</v>
      </c>
      <c r="T565" s="7"/>
      <c r="U565" s="7"/>
      <c r="V565" s="7"/>
    </row>
    <row r="566" spans="2:22" ht="15.75" customHeight="1"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8"/>
      <c r="M566" s="7"/>
      <c r="N566" s="8"/>
      <c r="O566" s="8"/>
      <c r="P566" s="8"/>
      <c r="Q566" s="8"/>
      <c r="R566" s="8"/>
      <c r="S566" s="8" t="s">
        <v>63</v>
      </c>
      <c r="T566" s="7"/>
      <c r="U566" s="7"/>
      <c r="V566" s="7"/>
    </row>
    <row r="567" spans="2:22" ht="15.75" customHeight="1"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8"/>
      <c r="M567" s="7"/>
      <c r="N567" s="8"/>
      <c r="O567" s="8"/>
      <c r="P567" s="8"/>
      <c r="Q567" s="8"/>
      <c r="R567" s="8"/>
      <c r="S567" s="8" t="s">
        <v>63</v>
      </c>
      <c r="T567" s="7"/>
      <c r="U567" s="7"/>
      <c r="V567" s="7"/>
    </row>
    <row r="568" spans="2:22" ht="15.75" customHeight="1"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8"/>
      <c r="M568" s="7"/>
      <c r="N568" s="8"/>
      <c r="O568" s="8"/>
      <c r="P568" s="8"/>
      <c r="Q568" s="8"/>
      <c r="R568" s="8"/>
      <c r="S568" s="8" t="s">
        <v>63</v>
      </c>
      <c r="T568" s="7"/>
      <c r="U568" s="7"/>
      <c r="V568" s="7"/>
    </row>
    <row r="569" spans="2:22" ht="15.75" customHeight="1"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8"/>
      <c r="M569" s="7"/>
      <c r="N569" s="8"/>
      <c r="O569" s="8"/>
      <c r="P569" s="8"/>
      <c r="Q569" s="8"/>
      <c r="R569" s="8"/>
      <c r="S569" s="8" t="s">
        <v>63</v>
      </c>
      <c r="T569" s="7"/>
      <c r="U569" s="7"/>
      <c r="V569" s="7"/>
    </row>
    <row r="570" spans="2:22" ht="15.75" customHeight="1"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8"/>
      <c r="M570" s="7"/>
      <c r="N570" s="8"/>
      <c r="O570" s="8"/>
      <c r="P570" s="8"/>
      <c r="Q570" s="8"/>
      <c r="R570" s="8"/>
      <c r="S570" s="8" t="s">
        <v>63</v>
      </c>
      <c r="T570" s="7"/>
      <c r="U570" s="7"/>
      <c r="V570" s="7"/>
    </row>
    <row r="571" spans="2:22" ht="15.75" customHeight="1"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8"/>
      <c r="M571" s="7"/>
      <c r="N571" s="8"/>
      <c r="O571" s="8"/>
      <c r="P571" s="8"/>
      <c r="Q571" s="8"/>
      <c r="R571" s="8"/>
      <c r="S571" s="8" t="s">
        <v>63</v>
      </c>
      <c r="T571" s="7"/>
      <c r="U571" s="7"/>
      <c r="V571" s="7"/>
    </row>
    <row r="572" spans="2:22" ht="15.75" customHeight="1"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8"/>
      <c r="M572" s="7"/>
      <c r="N572" s="8"/>
      <c r="O572" s="8"/>
      <c r="P572" s="8"/>
      <c r="Q572" s="8"/>
      <c r="R572" s="8"/>
      <c r="S572" s="8" t="s">
        <v>63</v>
      </c>
      <c r="T572" s="7"/>
      <c r="U572" s="7"/>
      <c r="V572" s="7"/>
    </row>
    <row r="573" spans="2:22" ht="15.75" customHeight="1"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8"/>
      <c r="M573" s="7"/>
      <c r="N573" s="8"/>
      <c r="O573" s="8"/>
      <c r="P573" s="8"/>
      <c r="Q573" s="8"/>
      <c r="R573" s="8"/>
      <c r="S573" s="8" t="s">
        <v>63</v>
      </c>
      <c r="T573" s="7"/>
      <c r="U573" s="7"/>
      <c r="V573" s="7"/>
    </row>
    <row r="574" spans="2:22" ht="15.75" customHeight="1"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8"/>
      <c r="M574" s="7"/>
      <c r="N574" s="8"/>
      <c r="O574" s="8"/>
      <c r="P574" s="8"/>
      <c r="Q574" s="8"/>
      <c r="R574" s="8"/>
      <c r="S574" s="8" t="s">
        <v>63</v>
      </c>
      <c r="T574" s="7"/>
      <c r="U574" s="7"/>
      <c r="V574" s="7"/>
    </row>
    <row r="575" spans="2:22" ht="15.75" customHeight="1"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8"/>
      <c r="M575" s="7"/>
      <c r="N575" s="8"/>
      <c r="O575" s="8"/>
      <c r="P575" s="8"/>
      <c r="Q575" s="8"/>
      <c r="R575" s="8"/>
      <c r="S575" s="8" t="s">
        <v>63</v>
      </c>
      <c r="T575" s="7"/>
      <c r="U575" s="7"/>
      <c r="V575" s="7"/>
    </row>
    <row r="576" spans="2:22" ht="15.75" customHeight="1"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8"/>
      <c r="M576" s="7"/>
      <c r="N576" s="8"/>
      <c r="O576" s="8"/>
      <c r="P576" s="8"/>
      <c r="Q576" s="8"/>
      <c r="R576" s="8"/>
      <c r="S576" s="8" t="s">
        <v>63</v>
      </c>
      <c r="T576" s="7"/>
      <c r="U576" s="7"/>
      <c r="V576" s="7"/>
    </row>
    <row r="577" spans="2:22" ht="15.75" customHeight="1"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8"/>
      <c r="M577" s="7"/>
      <c r="N577" s="8"/>
      <c r="O577" s="8"/>
      <c r="P577" s="8"/>
      <c r="Q577" s="8"/>
      <c r="R577" s="8"/>
      <c r="S577" s="8" t="s">
        <v>63</v>
      </c>
      <c r="T577" s="7"/>
      <c r="U577" s="7"/>
      <c r="V577" s="7"/>
    </row>
    <row r="578" spans="2:22" ht="15.75" customHeight="1"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8"/>
      <c r="M578" s="7"/>
      <c r="N578" s="8"/>
      <c r="O578" s="8"/>
      <c r="P578" s="8"/>
      <c r="Q578" s="8"/>
      <c r="R578" s="8"/>
      <c r="S578" s="8" t="s">
        <v>63</v>
      </c>
      <c r="T578" s="7"/>
      <c r="U578" s="7"/>
      <c r="V578" s="7"/>
    </row>
    <row r="579" spans="2:22" ht="15.75" customHeight="1"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8"/>
      <c r="M579" s="7"/>
      <c r="N579" s="8"/>
      <c r="O579" s="8"/>
      <c r="P579" s="8"/>
      <c r="Q579" s="8"/>
      <c r="R579" s="8"/>
      <c r="S579" s="8" t="s">
        <v>63</v>
      </c>
      <c r="T579" s="7"/>
      <c r="U579" s="7"/>
      <c r="V579" s="7"/>
    </row>
    <row r="580" spans="2:22" ht="15.75" customHeight="1"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8"/>
      <c r="M580" s="7"/>
      <c r="N580" s="8"/>
      <c r="O580" s="8"/>
      <c r="P580" s="8"/>
      <c r="Q580" s="8"/>
      <c r="R580" s="8"/>
      <c r="S580" s="8" t="s">
        <v>63</v>
      </c>
      <c r="T580" s="7"/>
      <c r="U580" s="7"/>
      <c r="V580" s="7"/>
    </row>
    <row r="581" spans="2:22" ht="15.75" customHeight="1"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8"/>
      <c r="M581" s="7"/>
      <c r="N581" s="8"/>
      <c r="O581" s="8"/>
      <c r="P581" s="8"/>
      <c r="Q581" s="8"/>
      <c r="R581" s="8"/>
      <c r="S581" s="8" t="s">
        <v>63</v>
      </c>
      <c r="T581" s="7"/>
      <c r="U581" s="7"/>
      <c r="V581" s="7"/>
    </row>
    <row r="582" spans="2:22" ht="15.75" customHeight="1"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8"/>
      <c r="M582" s="7"/>
      <c r="N582" s="8"/>
      <c r="O582" s="8"/>
      <c r="P582" s="8"/>
      <c r="Q582" s="8"/>
      <c r="R582" s="8"/>
      <c r="S582" s="8" t="s">
        <v>63</v>
      </c>
      <c r="T582" s="7"/>
      <c r="U582" s="7"/>
      <c r="V582" s="7"/>
    </row>
    <row r="583" spans="2:22" ht="15.75" customHeight="1"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8"/>
      <c r="M583" s="7"/>
      <c r="N583" s="8"/>
      <c r="O583" s="8"/>
      <c r="P583" s="8"/>
      <c r="Q583" s="8"/>
      <c r="R583" s="8"/>
      <c r="S583" s="8" t="s">
        <v>63</v>
      </c>
      <c r="T583" s="7"/>
      <c r="U583" s="7"/>
      <c r="V583" s="7"/>
    </row>
    <row r="584" spans="2:22" ht="15.75" customHeight="1"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8"/>
      <c r="M584" s="7"/>
      <c r="N584" s="8"/>
      <c r="O584" s="8"/>
      <c r="P584" s="8"/>
      <c r="Q584" s="8"/>
      <c r="R584" s="8"/>
      <c r="S584" s="8" t="s">
        <v>63</v>
      </c>
      <c r="T584" s="7"/>
      <c r="U584" s="7"/>
      <c r="V584" s="7"/>
    </row>
    <row r="585" spans="2:22" ht="15.75" customHeight="1"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8"/>
      <c r="M585" s="7"/>
      <c r="N585" s="8"/>
      <c r="O585" s="8"/>
      <c r="P585" s="8"/>
      <c r="Q585" s="8"/>
      <c r="R585" s="8"/>
      <c r="S585" s="8" t="s">
        <v>63</v>
      </c>
      <c r="T585" s="7"/>
      <c r="U585" s="7"/>
      <c r="V585" s="7"/>
    </row>
    <row r="586" spans="2:22" ht="15.75" customHeight="1"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8"/>
      <c r="M586" s="7"/>
      <c r="N586" s="8"/>
      <c r="O586" s="8"/>
      <c r="P586" s="8"/>
      <c r="Q586" s="8"/>
      <c r="R586" s="8"/>
      <c r="S586" s="8" t="s">
        <v>63</v>
      </c>
      <c r="T586" s="7"/>
      <c r="U586" s="7"/>
      <c r="V586" s="7"/>
    </row>
    <row r="587" spans="2:22" ht="15.75" customHeight="1"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8"/>
      <c r="M587" s="7"/>
      <c r="N587" s="8"/>
      <c r="O587" s="8"/>
      <c r="P587" s="8"/>
      <c r="Q587" s="8"/>
      <c r="R587" s="8"/>
      <c r="S587" s="8" t="s">
        <v>63</v>
      </c>
      <c r="T587" s="7"/>
      <c r="U587" s="7"/>
      <c r="V587" s="7"/>
    </row>
    <row r="588" spans="2:22" ht="15.75" customHeight="1"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8"/>
      <c r="M588" s="7"/>
      <c r="N588" s="8"/>
      <c r="O588" s="8"/>
      <c r="P588" s="8"/>
      <c r="Q588" s="8"/>
      <c r="R588" s="8"/>
      <c r="S588" s="8" t="s">
        <v>63</v>
      </c>
      <c r="T588" s="7"/>
      <c r="U588" s="7"/>
      <c r="V588" s="7"/>
    </row>
    <row r="589" spans="2:22" ht="15.75" customHeight="1"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8"/>
      <c r="M589" s="7"/>
      <c r="N589" s="8"/>
      <c r="O589" s="8"/>
      <c r="P589" s="8"/>
      <c r="Q589" s="8"/>
      <c r="R589" s="8"/>
      <c r="S589" s="8" t="s">
        <v>63</v>
      </c>
      <c r="T589" s="7"/>
      <c r="U589" s="7"/>
      <c r="V589" s="7"/>
    </row>
    <row r="590" spans="2:22" ht="15.75" customHeight="1"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8"/>
      <c r="M590" s="7"/>
      <c r="N590" s="8"/>
      <c r="O590" s="8"/>
      <c r="P590" s="8"/>
      <c r="Q590" s="8"/>
      <c r="R590" s="8"/>
      <c r="S590" s="8" t="s">
        <v>63</v>
      </c>
      <c r="T590" s="7"/>
      <c r="U590" s="7"/>
      <c r="V590" s="7"/>
    </row>
    <row r="591" spans="2:22" ht="15.75" customHeight="1"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8"/>
      <c r="M591" s="7"/>
      <c r="N591" s="8"/>
      <c r="O591" s="8"/>
      <c r="P591" s="8"/>
      <c r="Q591" s="8"/>
      <c r="R591" s="8"/>
      <c r="S591" s="8" t="s">
        <v>63</v>
      </c>
      <c r="T591" s="7"/>
      <c r="U591" s="7"/>
      <c r="V591" s="7"/>
    </row>
    <row r="592" spans="2:22" ht="15.75" customHeight="1"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8"/>
      <c r="M592" s="7"/>
      <c r="N592" s="8"/>
      <c r="O592" s="8"/>
      <c r="P592" s="8"/>
      <c r="Q592" s="8"/>
      <c r="R592" s="8"/>
      <c r="S592" s="8" t="s">
        <v>63</v>
      </c>
      <c r="T592" s="7"/>
      <c r="U592" s="7"/>
      <c r="V592" s="7"/>
    </row>
    <row r="593" spans="2:22" ht="15.75" customHeight="1"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8"/>
      <c r="M593" s="7"/>
      <c r="N593" s="8"/>
      <c r="O593" s="8"/>
      <c r="P593" s="8"/>
      <c r="Q593" s="8"/>
      <c r="R593" s="8"/>
      <c r="S593" s="8" t="s">
        <v>63</v>
      </c>
      <c r="T593" s="7"/>
      <c r="U593" s="7"/>
      <c r="V593" s="7"/>
    </row>
    <row r="594" spans="2:22" ht="15.75" customHeight="1"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8"/>
      <c r="M594" s="7"/>
      <c r="N594" s="8"/>
      <c r="O594" s="8"/>
      <c r="P594" s="8"/>
      <c r="Q594" s="8"/>
      <c r="R594" s="8"/>
      <c r="S594" s="8" t="s">
        <v>63</v>
      </c>
      <c r="T594" s="7"/>
      <c r="U594" s="7"/>
      <c r="V594" s="7"/>
    </row>
    <row r="595" spans="2:22" ht="15.75" customHeight="1"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8"/>
      <c r="M595" s="7"/>
      <c r="N595" s="8"/>
      <c r="O595" s="8"/>
      <c r="P595" s="8"/>
      <c r="Q595" s="8"/>
      <c r="R595" s="8"/>
      <c r="S595" s="8" t="s">
        <v>63</v>
      </c>
      <c r="T595" s="7"/>
      <c r="U595" s="7"/>
      <c r="V595" s="7"/>
    </row>
    <row r="596" spans="2:22" ht="15.75" customHeight="1"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8"/>
      <c r="M596" s="7"/>
      <c r="N596" s="8"/>
      <c r="O596" s="8"/>
      <c r="P596" s="8"/>
      <c r="Q596" s="8"/>
      <c r="R596" s="8"/>
      <c r="S596" s="8" t="s">
        <v>63</v>
      </c>
      <c r="T596" s="7"/>
      <c r="U596" s="7"/>
      <c r="V596" s="7"/>
    </row>
    <row r="597" spans="2:22" ht="15.75" customHeight="1"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8"/>
      <c r="M597" s="7"/>
      <c r="N597" s="8"/>
      <c r="O597" s="8"/>
      <c r="P597" s="8"/>
      <c r="Q597" s="8"/>
      <c r="R597" s="8"/>
      <c r="S597" s="8" t="s">
        <v>63</v>
      </c>
      <c r="T597" s="7"/>
      <c r="U597" s="7"/>
      <c r="V597" s="7"/>
    </row>
    <row r="598" spans="2:22" ht="15.75" customHeight="1"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8"/>
      <c r="M598" s="7"/>
      <c r="N598" s="8"/>
      <c r="O598" s="8"/>
      <c r="P598" s="8"/>
      <c r="Q598" s="8"/>
      <c r="R598" s="8"/>
      <c r="S598" s="8" t="s">
        <v>63</v>
      </c>
      <c r="T598" s="7"/>
      <c r="U598" s="7"/>
      <c r="V598" s="7"/>
    </row>
    <row r="599" spans="2:22" ht="15.75" customHeight="1"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8"/>
      <c r="M599" s="7"/>
      <c r="N599" s="8"/>
      <c r="O599" s="8"/>
      <c r="P599" s="8"/>
      <c r="Q599" s="8"/>
      <c r="R599" s="8"/>
      <c r="S599" s="8" t="s">
        <v>63</v>
      </c>
      <c r="T599" s="7"/>
      <c r="U599" s="7"/>
      <c r="V599" s="7"/>
    </row>
    <row r="600" spans="2:22" ht="15.75" customHeight="1"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8"/>
      <c r="M600" s="7"/>
      <c r="N600" s="8"/>
      <c r="O600" s="8"/>
      <c r="P600" s="8"/>
      <c r="Q600" s="8"/>
      <c r="R600" s="8"/>
      <c r="S600" s="8" t="s">
        <v>63</v>
      </c>
      <c r="T600" s="7"/>
      <c r="U600" s="7"/>
      <c r="V600" s="7"/>
    </row>
    <row r="601" spans="2:22" ht="15.75" customHeight="1"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8"/>
      <c r="M601" s="7"/>
      <c r="N601" s="8"/>
      <c r="O601" s="8"/>
      <c r="P601" s="8"/>
      <c r="Q601" s="8"/>
      <c r="R601" s="8"/>
      <c r="S601" s="8" t="s">
        <v>63</v>
      </c>
      <c r="T601" s="7"/>
      <c r="U601" s="7"/>
      <c r="V601" s="7"/>
    </row>
    <row r="602" spans="2:22" ht="15.75" customHeight="1"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8"/>
      <c r="M602" s="7"/>
      <c r="N602" s="8"/>
      <c r="O602" s="8"/>
      <c r="P602" s="8"/>
      <c r="Q602" s="8"/>
      <c r="R602" s="8"/>
      <c r="S602" s="8" t="s">
        <v>63</v>
      </c>
      <c r="T602" s="7"/>
      <c r="U602" s="7"/>
      <c r="V602" s="7"/>
    </row>
    <row r="603" spans="2:22" ht="15.75" customHeight="1"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8"/>
      <c r="M603" s="7"/>
      <c r="N603" s="8"/>
      <c r="O603" s="8"/>
      <c r="P603" s="8"/>
      <c r="Q603" s="8"/>
      <c r="R603" s="8"/>
      <c r="S603" s="8" t="s">
        <v>63</v>
      </c>
      <c r="T603" s="7"/>
      <c r="U603" s="7"/>
      <c r="V603" s="7"/>
    </row>
    <row r="604" spans="2:22" ht="15.75" customHeight="1"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8"/>
      <c r="M604" s="7"/>
      <c r="N604" s="8"/>
      <c r="O604" s="8"/>
      <c r="P604" s="8"/>
      <c r="Q604" s="8"/>
      <c r="R604" s="8"/>
      <c r="S604" s="8" t="s">
        <v>63</v>
      </c>
      <c r="T604" s="7"/>
      <c r="U604" s="7"/>
      <c r="V604" s="7"/>
    </row>
    <row r="605" spans="2:22" ht="15.75" customHeight="1"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8"/>
      <c r="M605" s="7"/>
      <c r="N605" s="8"/>
      <c r="O605" s="8"/>
      <c r="P605" s="8"/>
      <c r="Q605" s="8"/>
      <c r="R605" s="8"/>
      <c r="S605" s="8" t="s">
        <v>63</v>
      </c>
      <c r="T605" s="7"/>
      <c r="U605" s="7"/>
      <c r="V605" s="7"/>
    </row>
    <row r="606" spans="2:22" ht="15.75" customHeight="1"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8"/>
      <c r="M606" s="7"/>
      <c r="N606" s="8"/>
      <c r="O606" s="8"/>
      <c r="P606" s="8"/>
      <c r="Q606" s="8"/>
      <c r="R606" s="8"/>
      <c r="S606" s="8" t="s">
        <v>63</v>
      </c>
      <c r="T606" s="7"/>
      <c r="U606" s="7"/>
      <c r="V606" s="7"/>
    </row>
    <row r="607" spans="2:22" ht="15.75" customHeight="1"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8"/>
      <c r="M607" s="7"/>
      <c r="N607" s="8"/>
      <c r="O607" s="8"/>
      <c r="P607" s="8"/>
      <c r="Q607" s="8"/>
      <c r="R607" s="8"/>
      <c r="S607" s="8" t="s">
        <v>63</v>
      </c>
      <c r="T607" s="7"/>
      <c r="U607" s="7"/>
      <c r="V607" s="7"/>
    </row>
    <row r="608" spans="2:22" ht="15.75" customHeight="1"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8"/>
      <c r="M608" s="7"/>
      <c r="N608" s="8"/>
      <c r="O608" s="8"/>
      <c r="P608" s="8"/>
      <c r="Q608" s="8"/>
      <c r="R608" s="8"/>
      <c r="S608" s="8" t="s">
        <v>63</v>
      </c>
      <c r="T608" s="7"/>
      <c r="U608" s="7"/>
      <c r="V608" s="7"/>
    </row>
    <row r="609" spans="2:22" ht="15.75" customHeight="1"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8"/>
      <c r="M609" s="7"/>
      <c r="N609" s="8"/>
      <c r="O609" s="8"/>
      <c r="P609" s="8"/>
      <c r="Q609" s="8"/>
      <c r="R609" s="8"/>
      <c r="S609" s="8" t="s">
        <v>63</v>
      </c>
      <c r="T609" s="7"/>
      <c r="U609" s="7"/>
      <c r="V609" s="7"/>
    </row>
    <row r="610" spans="2:22" ht="15.75" customHeight="1"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8"/>
      <c r="M610" s="7"/>
      <c r="N610" s="8"/>
      <c r="O610" s="8"/>
      <c r="P610" s="8"/>
      <c r="Q610" s="8"/>
      <c r="R610" s="8"/>
      <c r="S610" s="8" t="s">
        <v>63</v>
      </c>
      <c r="T610" s="7"/>
      <c r="U610" s="7"/>
      <c r="V610" s="7"/>
    </row>
    <row r="611" spans="2:22" ht="15.75" customHeight="1"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8"/>
      <c r="M611" s="7"/>
      <c r="N611" s="8"/>
      <c r="O611" s="8"/>
      <c r="P611" s="8"/>
      <c r="Q611" s="8"/>
      <c r="R611" s="8"/>
      <c r="S611" s="8" t="s">
        <v>63</v>
      </c>
      <c r="T611" s="7"/>
      <c r="U611" s="7"/>
      <c r="V611" s="7"/>
    </row>
    <row r="612" spans="2:22" ht="15.75" customHeight="1"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8"/>
      <c r="M612" s="7"/>
      <c r="N612" s="8"/>
      <c r="O612" s="8"/>
      <c r="P612" s="8"/>
      <c r="Q612" s="8"/>
      <c r="R612" s="8"/>
      <c r="S612" s="8" t="s">
        <v>63</v>
      </c>
      <c r="T612" s="7"/>
      <c r="U612" s="7"/>
      <c r="V612" s="7"/>
    </row>
    <row r="613" spans="2:22" ht="15.75" customHeight="1"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8"/>
      <c r="M613" s="7"/>
      <c r="N613" s="8"/>
      <c r="O613" s="8"/>
      <c r="P613" s="8"/>
      <c r="Q613" s="8"/>
      <c r="R613" s="8"/>
      <c r="S613" s="8" t="s">
        <v>63</v>
      </c>
      <c r="T613" s="7"/>
      <c r="U613" s="7"/>
      <c r="V613" s="7"/>
    </row>
    <row r="614" spans="2:22" ht="15.75" customHeight="1"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8"/>
      <c r="M614" s="7"/>
      <c r="N614" s="8"/>
      <c r="O614" s="8"/>
      <c r="P614" s="8"/>
      <c r="Q614" s="8"/>
      <c r="R614" s="8"/>
      <c r="S614" s="8" t="s">
        <v>63</v>
      </c>
      <c r="T614" s="7"/>
      <c r="U614" s="7"/>
      <c r="V614" s="7"/>
    </row>
    <row r="615" spans="2:22" ht="15.75" customHeight="1"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8"/>
      <c r="M615" s="7"/>
      <c r="N615" s="8"/>
      <c r="O615" s="8"/>
      <c r="P615" s="8"/>
      <c r="Q615" s="8"/>
      <c r="R615" s="8"/>
      <c r="S615" s="8" t="s">
        <v>63</v>
      </c>
      <c r="T615" s="7"/>
      <c r="U615" s="7"/>
      <c r="V615" s="7"/>
    </row>
    <row r="616" spans="2:22" ht="15.75" customHeight="1"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8"/>
      <c r="M616" s="7"/>
      <c r="N616" s="8"/>
      <c r="O616" s="8"/>
      <c r="P616" s="8"/>
      <c r="Q616" s="8"/>
      <c r="R616" s="8"/>
      <c r="S616" s="8" t="s">
        <v>63</v>
      </c>
      <c r="T616" s="7"/>
      <c r="U616" s="7"/>
      <c r="V616" s="7"/>
    </row>
    <row r="617" spans="2:22" ht="15.75" customHeight="1"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8"/>
      <c r="M617" s="7"/>
      <c r="N617" s="8"/>
      <c r="O617" s="8"/>
      <c r="P617" s="8"/>
      <c r="Q617" s="8"/>
      <c r="R617" s="8"/>
      <c r="S617" s="8" t="s">
        <v>63</v>
      </c>
      <c r="T617" s="7"/>
      <c r="U617" s="7"/>
      <c r="V617" s="7"/>
    </row>
    <row r="618" spans="2:22" ht="15.75" customHeight="1"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8"/>
      <c r="M618" s="7"/>
      <c r="N618" s="8"/>
      <c r="O618" s="8"/>
      <c r="P618" s="8"/>
      <c r="Q618" s="8"/>
      <c r="R618" s="8"/>
      <c r="S618" s="8" t="s">
        <v>63</v>
      </c>
      <c r="T618" s="7"/>
      <c r="U618" s="7"/>
      <c r="V618" s="7"/>
    </row>
    <row r="619" spans="2:22" ht="15.75" customHeight="1"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8"/>
      <c r="M619" s="7"/>
      <c r="N619" s="8"/>
      <c r="O619" s="8"/>
      <c r="P619" s="8"/>
      <c r="Q619" s="8"/>
      <c r="R619" s="8"/>
      <c r="S619" s="8" t="s">
        <v>63</v>
      </c>
      <c r="T619" s="7"/>
      <c r="U619" s="7"/>
      <c r="V619" s="7"/>
    </row>
    <row r="620" spans="2:22" ht="15.75" customHeight="1"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8"/>
      <c r="M620" s="7"/>
      <c r="N620" s="8"/>
      <c r="O620" s="8"/>
      <c r="P620" s="8"/>
      <c r="Q620" s="8"/>
      <c r="R620" s="8"/>
      <c r="S620" s="8" t="s">
        <v>63</v>
      </c>
      <c r="T620" s="7"/>
      <c r="U620" s="7"/>
      <c r="V620" s="7"/>
    </row>
    <row r="621" spans="2:22" ht="15.75" customHeight="1"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8"/>
      <c r="M621" s="7"/>
      <c r="N621" s="8"/>
      <c r="O621" s="8"/>
      <c r="P621" s="8"/>
      <c r="Q621" s="8"/>
      <c r="R621" s="8"/>
      <c r="S621" s="8" t="s">
        <v>63</v>
      </c>
      <c r="T621" s="7"/>
      <c r="U621" s="7"/>
      <c r="V621" s="7"/>
    </row>
    <row r="622" spans="2:22" ht="15.75" customHeight="1"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8"/>
      <c r="M622" s="7"/>
      <c r="N622" s="8"/>
      <c r="O622" s="8"/>
      <c r="P622" s="8"/>
      <c r="Q622" s="8"/>
      <c r="R622" s="8"/>
      <c r="S622" s="8" t="s">
        <v>63</v>
      </c>
      <c r="T622" s="7"/>
      <c r="U622" s="7"/>
      <c r="V622" s="7"/>
    </row>
    <row r="623" spans="2:22" ht="15.75" customHeight="1"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8"/>
      <c r="M623" s="7"/>
      <c r="N623" s="8"/>
      <c r="O623" s="8"/>
      <c r="P623" s="8"/>
      <c r="Q623" s="8"/>
      <c r="R623" s="8"/>
      <c r="S623" s="8" t="s">
        <v>63</v>
      </c>
      <c r="T623" s="7"/>
      <c r="U623" s="7"/>
      <c r="V623" s="7"/>
    </row>
    <row r="624" spans="2:22" ht="15.75" customHeight="1"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8"/>
      <c r="M624" s="7"/>
      <c r="N624" s="8"/>
      <c r="O624" s="8"/>
      <c r="P624" s="8"/>
      <c r="Q624" s="8"/>
      <c r="R624" s="8"/>
      <c r="S624" s="8" t="s">
        <v>63</v>
      </c>
      <c r="T624" s="7"/>
      <c r="U624" s="7"/>
      <c r="V624" s="7"/>
    </row>
    <row r="625" spans="2:22" ht="15.75" customHeight="1"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8"/>
      <c r="M625" s="7"/>
      <c r="N625" s="8"/>
      <c r="O625" s="8"/>
      <c r="P625" s="8"/>
      <c r="Q625" s="8"/>
      <c r="R625" s="8"/>
      <c r="S625" s="8" t="s">
        <v>63</v>
      </c>
      <c r="T625" s="7"/>
      <c r="U625" s="7"/>
      <c r="V625" s="7"/>
    </row>
    <row r="626" spans="2:22" ht="15.75" customHeight="1"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8"/>
      <c r="M626" s="7"/>
      <c r="N626" s="8"/>
      <c r="O626" s="8"/>
      <c r="P626" s="8"/>
      <c r="Q626" s="8"/>
      <c r="R626" s="8"/>
      <c r="S626" s="8" t="s">
        <v>63</v>
      </c>
      <c r="T626" s="7"/>
      <c r="U626" s="7"/>
      <c r="V626" s="7"/>
    </row>
    <row r="627" spans="2:22" ht="15.75" customHeight="1"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8"/>
      <c r="M627" s="7"/>
      <c r="N627" s="8"/>
      <c r="O627" s="8"/>
      <c r="P627" s="8"/>
      <c r="Q627" s="8"/>
      <c r="R627" s="8"/>
      <c r="S627" s="8" t="s">
        <v>63</v>
      </c>
      <c r="T627" s="7"/>
      <c r="U627" s="7"/>
      <c r="V627" s="7"/>
    </row>
    <row r="628" spans="2:22" ht="15.75" customHeight="1"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8"/>
      <c r="M628" s="7"/>
      <c r="N628" s="8"/>
      <c r="O628" s="8"/>
      <c r="P628" s="8"/>
      <c r="Q628" s="8"/>
      <c r="R628" s="8"/>
      <c r="S628" s="8" t="s">
        <v>63</v>
      </c>
      <c r="T628" s="7"/>
      <c r="U628" s="7"/>
      <c r="V628" s="7"/>
    </row>
    <row r="629" spans="2:22" ht="15.75" customHeight="1"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8"/>
      <c r="M629" s="7"/>
      <c r="N629" s="8"/>
      <c r="O629" s="8"/>
      <c r="P629" s="8"/>
      <c r="Q629" s="8"/>
      <c r="R629" s="8"/>
      <c r="S629" s="8" t="s">
        <v>63</v>
      </c>
      <c r="T629" s="7"/>
      <c r="U629" s="7"/>
      <c r="V629" s="7"/>
    </row>
    <row r="630" spans="2:22" ht="15.75" customHeight="1"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8"/>
      <c r="M630" s="7"/>
      <c r="N630" s="8"/>
      <c r="O630" s="8"/>
      <c r="P630" s="8"/>
      <c r="Q630" s="8"/>
      <c r="R630" s="8"/>
      <c r="S630" s="8" t="s">
        <v>63</v>
      </c>
      <c r="T630" s="7"/>
      <c r="U630" s="7"/>
      <c r="V630" s="7"/>
    </row>
    <row r="631" spans="2:22" ht="15.75" customHeight="1"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8"/>
      <c r="M631" s="7"/>
      <c r="N631" s="8"/>
      <c r="O631" s="8"/>
      <c r="P631" s="8"/>
      <c r="Q631" s="8"/>
      <c r="R631" s="8"/>
      <c r="S631" s="8" t="s">
        <v>63</v>
      </c>
      <c r="T631" s="7"/>
      <c r="U631" s="7"/>
      <c r="V631" s="7"/>
    </row>
    <row r="632" spans="2:22" ht="15.75" customHeight="1"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8"/>
      <c r="M632" s="7"/>
      <c r="N632" s="8"/>
      <c r="O632" s="8"/>
      <c r="P632" s="8"/>
      <c r="Q632" s="8"/>
      <c r="R632" s="8"/>
      <c r="S632" s="8" t="s">
        <v>63</v>
      </c>
      <c r="T632" s="7"/>
      <c r="U632" s="7"/>
      <c r="V632" s="7"/>
    </row>
    <row r="633" spans="2:22" ht="15.75" customHeight="1"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8"/>
      <c r="M633" s="7"/>
      <c r="N633" s="8"/>
      <c r="O633" s="8"/>
      <c r="P633" s="8"/>
      <c r="Q633" s="8"/>
      <c r="R633" s="8"/>
      <c r="S633" s="8" t="s">
        <v>63</v>
      </c>
      <c r="T633" s="7"/>
      <c r="U633" s="7"/>
      <c r="V633" s="7"/>
    </row>
    <row r="634" spans="2:22" ht="15.75" customHeight="1"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8"/>
      <c r="M634" s="7"/>
      <c r="N634" s="8"/>
      <c r="O634" s="8"/>
      <c r="P634" s="8"/>
      <c r="Q634" s="8"/>
      <c r="R634" s="8"/>
      <c r="S634" s="8" t="s">
        <v>63</v>
      </c>
      <c r="T634" s="7"/>
      <c r="U634" s="7"/>
      <c r="V634" s="7"/>
    </row>
    <row r="635" spans="2:22" ht="15.75" customHeight="1"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8"/>
      <c r="M635" s="7"/>
      <c r="N635" s="8"/>
      <c r="O635" s="8"/>
      <c r="P635" s="8"/>
      <c r="Q635" s="8"/>
      <c r="R635" s="8"/>
      <c r="S635" s="8" t="s">
        <v>63</v>
      </c>
      <c r="T635" s="7"/>
      <c r="U635" s="7"/>
      <c r="V635" s="7"/>
    </row>
    <row r="636" spans="2:22" ht="15.75" customHeight="1"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8"/>
      <c r="M636" s="7"/>
      <c r="N636" s="8"/>
      <c r="O636" s="8"/>
      <c r="P636" s="8"/>
      <c r="Q636" s="8"/>
      <c r="R636" s="8"/>
      <c r="S636" s="8" t="s">
        <v>63</v>
      </c>
      <c r="T636" s="7"/>
      <c r="U636" s="7"/>
      <c r="V636" s="7"/>
    </row>
    <row r="637" spans="2:22" ht="15.75" customHeight="1"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8"/>
      <c r="M637" s="7"/>
      <c r="N637" s="8"/>
      <c r="O637" s="8"/>
      <c r="P637" s="8"/>
      <c r="Q637" s="8"/>
      <c r="R637" s="8"/>
      <c r="S637" s="8" t="s">
        <v>63</v>
      </c>
      <c r="T637" s="7"/>
      <c r="U637" s="7"/>
      <c r="V637" s="7"/>
    </row>
    <row r="638" spans="2:22" ht="15.75" customHeight="1"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8"/>
      <c r="M638" s="7"/>
      <c r="N638" s="8"/>
      <c r="O638" s="8"/>
      <c r="P638" s="8"/>
      <c r="Q638" s="8"/>
      <c r="R638" s="8"/>
      <c r="S638" s="8" t="s">
        <v>63</v>
      </c>
      <c r="T638" s="7"/>
      <c r="U638" s="7"/>
      <c r="V638" s="7"/>
    </row>
    <row r="639" spans="2:22" ht="15.75" customHeight="1"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8"/>
      <c r="M639" s="7"/>
      <c r="N639" s="8"/>
      <c r="O639" s="8"/>
      <c r="P639" s="8"/>
      <c r="Q639" s="8"/>
      <c r="R639" s="8"/>
      <c r="S639" s="8" t="s">
        <v>63</v>
      </c>
      <c r="T639" s="7"/>
      <c r="U639" s="7"/>
      <c r="V639" s="7"/>
    </row>
    <row r="640" spans="2:22" ht="15.75" customHeight="1"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8"/>
      <c r="M640" s="7"/>
      <c r="N640" s="8"/>
      <c r="O640" s="8"/>
      <c r="P640" s="8"/>
      <c r="Q640" s="8"/>
      <c r="R640" s="8"/>
      <c r="S640" s="8" t="s">
        <v>63</v>
      </c>
      <c r="T640" s="7"/>
      <c r="U640" s="7"/>
      <c r="V640" s="7"/>
    </row>
    <row r="641" spans="2:22" ht="15.75" customHeight="1"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8"/>
      <c r="M641" s="7"/>
      <c r="N641" s="8"/>
      <c r="O641" s="8"/>
      <c r="P641" s="8"/>
      <c r="Q641" s="8"/>
      <c r="R641" s="8"/>
      <c r="S641" s="8" t="s">
        <v>63</v>
      </c>
      <c r="T641" s="7"/>
      <c r="U641" s="7"/>
      <c r="V641" s="7"/>
    </row>
    <row r="642" spans="2:22" ht="15.75" customHeight="1"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8"/>
      <c r="M642" s="7"/>
      <c r="N642" s="8"/>
      <c r="O642" s="8"/>
      <c r="P642" s="8"/>
      <c r="Q642" s="8"/>
      <c r="R642" s="8"/>
      <c r="S642" s="8" t="s">
        <v>63</v>
      </c>
      <c r="T642" s="7"/>
      <c r="U642" s="7"/>
      <c r="V642" s="7"/>
    </row>
    <row r="643" spans="2:22" ht="15.75" customHeight="1"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8"/>
      <c r="M643" s="7"/>
      <c r="N643" s="8"/>
      <c r="O643" s="8"/>
      <c r="P643" s="8"/>
      <c r="Q643" s="8"/>
      <c r="R643" s="8"/>
      <c r="S643" s="8" t="s">
        <v>63</v>
      </c>
      <c r="T643" s="7"/>
      <c r="U643" s="7"/>
      <c r="V643" s="7"/>
    </row>
    <row r="644" spans="2:22" ht="15.75" customHeight="1"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8"/>
      <c r="M644" s="7"/>
      <c r="N644" s="8"/>
      <c r="O644" s="8"/>
      <c r="P644" s="8"/>
      <c r="Q644" s="8"/>
      <c r="R644" s="8"/>
      <c r="S644" s="8" t="s">
        <v>63</v>
      </c>
      <c r="T644" s="7"/>
      <c r="U644" s="7"/>
      <c r="V644" s="7"/>
    </row>
    <row r="645" spans="2:22" ht="15.75" customHeight="1"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8"/>
      <c r="M645" s="7"/>
      <c r="N645" s="8"/>
      <c r="O645" s="8"/>
      <c r="P645" s="8"/>
      <c r="Q645" s="8"/>
      <c r="R645" s="8"/>
      <c r="S645" s="8" t="s">
        <v>63</v>
      </c>
      <c r="T645" s="7"/>
      <c r="U645" s="7"/>
      <c r="V645" s="7"/>
    </row>
    <row r="646" spans="2:22" ht="15.75" customHeight="1"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8"/>
      <c r="M646" s="7"/>
      <c r="N646" s="8"/>
      <c r="O646" s="8"/>
      <c r="P646" s="8"/>
      <c r="Q646" s="8"/>
      <c r="R646" s="8"/>
      <c r="S646" s="8" t="s">
        <v>63</v>
      </c>
      <c r="T646" s="7"/>
      <c r="U646" s="7"/>
      <c r="V646" s="7"/>
    </row>
    <row r="647" spans="2:22" ht="15.75" customHeight="1"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8"/>
      <c r="M647" s="7"/>
      <c r="N647" s="8"/>
      <c r="O647" s="8"/>
      <c r="P647" s="8"/>
      <c r="Q647" s="8"/>
      <c r="R647" s="8"/>
      <c r="S647" s="8" t="s">
        <v>63</v>
      </c>
      <c r="T647" s="7"/>
      <c r="U647" s="7"/>
      <c r="V647" s="7"/>
    </row>
    <row r="648" spans="2:22" ht="15.75" customHeight="1"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8"/>
      <c r="M648" s="7"/>
      <c r="N648" s="8"/>
      <c r="O648" s="8"/>
      <c r="P648" s="8"/>
      <c r="Q648" s="8"/>
      <c r="R648" s="8"/>
      <c r="S648" s="8" t="s">
        <v>63</v>
      </c>
      <c r="T648" s="7"/>
      <c r="U648" s="7"/>
      <c r="V648" s="7"/>
    </row>
    <row r="649" spans="2:22" ht="15.75" customHeight="1"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8"/>
      <c r="M649" s="7"/>
      <c r="N649" s="8"/>
      <c r="O649" s="8"/>
      <c r="P649" s="8"/>
      <c r="Q649" s="8"/>
      <c r="R649" s="8"/>
      <c r="S649" s="8" t="s">
        <v>63</v>
      </c>
      <c r="T649" s="7"/>
      <c r="U649" s="7"/>
      <c r="V649" s="7"/>
    </row>
    <row r="650" spans="2:22" ht="15.75" customHeight="1"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8"/>
      <c r="M650" s="7"/>
      <c r="N650" s="8"/>
      <c r="O650" s="8"/>
      <c r="P650" s="8"/>
      <c r="Q650" s="8"/>
      <c r="R650" s="8"/>
      <c r="S650" s="8" t="s">
        <v>63</v>
      </c>
      <c r="T650" s="7"/>
      <c r="U650" s="7"/>
      <c r="V650" s="7"/>
    </row>
    <row r="651" spans="2:22" ht="15.75" customHeight="1"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8"/>
      <c r="M651" s="7"/>
      <c r="N651" s="8"/>
      <c r="O651" s="8"/>
      <c r="P651" s="8"/>
      <c r="Q651" s="8"/>
      <c r="R651" s="8"/>
      <c r="S651" s="8" t="s">
        <v>63</v>
      </c>
      <c r="T651" s="7"/>
      <c r="U651" s="7"/>
      <c r="V651" s="7"/>
    </row>
    <row r="652" spans="2:22" ht="15.75" customHeight="1"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8"/>
      <c r="M652" s="7"/>
      <c r="N652" s="8"/>
      <c r="O652" s="8"/>
      <c r="P652" s="8"/>
      <c r="Q652" s="8"/>
      <c r="R652" s="8"/>
      <c r="S652" s="8" t="s">
        <v>63</v>
      </c>
      <c r="T652" s="7"/>
      <c r="U652" s="7"/>
      <c r="V652" s="7"/>
    </row>
    <row r="653" spans="2:22" ht="15.75" customHeight="1"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8"/>
      <c r="M653" s="7"/>
      <c r="N653" s="8"/>
      <c r="O653" s="8"/>
      <c r="P653" s="8"/>
      <c r="Q653" s="8"/>
      <c r="R653" s="8"/>
      <c r="S653" s="8" t="s">
        <v>63</v>
      </c>
      <c r="T653" s="7"/>
      <c r="U653" s="7"/>
      <c r="V653" s="7"/>
    </row>
    <row r="654" spans="2:22" ht="15.75" customHeight="1"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8"/>
      <c r="M654" s="7"/>
      <c r="N654" s="8"/>
      <c r="O654" s="8"/>
      <c r="P654" s="8"/>
      <c r="Q654" s="8"/>
      <c r="R654" s="8"/>
      <c r="S654" s="8" t="s">
        <v>63</v>
      </c>
      <c r="T654" s="7"/>
      <c r="U654" s="7"/>
      <c r="V654" s="7"/>
    </row>
    <row r="655" spans="2:22" ht="15.75" customHeight="1"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8"/>
      <c r="M655" s="7"/>
      <c r="N655" s="8"/>
      <c r="O655" s="8"/>
      <c r="P655" s="8"/>
      <c r="Q655" s="8"/>
      <c r="R655" s="8"/>
      <c r="S655" s="8" t="s">
        <v>63</v>
      </c>
      <c r="T655" s="7"/>
      <c r="U655" s="7"/>
      <c r="V655" s="7"/>
    </row>
    <row r="656" spans="2:22" ht="15.75" customHeight="1"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8"/>
      <c r="M656" s="7"/>
      <c r="N656" s="8"/>
      <c r="O656" s="8"/>
      <c r="P656" s="8"/>
      <c r="Q656" s="8"/>
      <c r="R656" s="8"/>
      <c r="S656" s="8" t="s">
        <v>63</v>
      </c>
      <c r="T656" s="7"/>
      <c r="U656" s="7"/>
      <c r="V656" s="7"/>
    </row>
    <row r="657" spans="2:22" ht="15.75" customHeight="1"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8"/>
      <c r="M657" s="7"/>
      <c r="N657" s="8"/>
      <c r="O657" s="8"/>
      <c r="P657" s="8"/>
      <c r="Q657" s="8"/>
      <c r="R657" s="8"/>
      <c r="S657" s="8" t="s">
        <v>63</v>
      </c>
      <c r="T657" s="7"/>
      <c r="U657" s="7"/>
      <c r="V657" s="7"/>
    </row>
    <row r="658" spans="2:22" ht="15.75" customHeight="1"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8"/>
      <c r="M658" s="7"/>
      <c r="N658" s="8"/>
      <c r="O658" s="8"/>
      <c r="P658" s="8"/>
      <c r="Q658" s="8"/>
      <c r="R658" s="8"/>
      <c r="S658" s="8" t="s">
        <v>63</v>
      </c>
      <c r="T658" s="7"/>
      <c r="U658" s="7"/>
      <c r="V658" s="7"/>
    </row>
    <row r="659" spans="2:22" ht="15.75" customHeight="1"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8"/>
      <c r="M659" s="7"/>
      <c r="N659" s="8"/>
      <c r="O659" s="8"/>
      <c r="P659" s="8"/>
      <c r="Q659" s="8"/>
      <c r="R659" s="8"/>
      <c r="S659" s="8" t="s">
        <v>63</v>
      </c>
      <c r="T659" s="7"/>
      <c r="U659" s="7"/>
      <c r="V659" s="7"/>
    </row>
    <row r="660" spans="2:22" ht="15.75" customHeight="1"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8"/>
      <c r="M660" s="7"/>
      <c r="N660" s="8"/>
      <c r="O660" s="8"/>
      <c r="P660" s="8"/>
      <c r="Q660" s="8"/>
      <c r="R660" s="8"/>
      <c r="S660" s="8" t="s">
        <v>63</v>
      </c>
      <c r="T660" s="7"/>
      <c r="U660" s="7"/>
      <c r="V660" s="7"/>
    </row>
    <row r="661" spans="2:22" ht="15.75" customHeight="1"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8"/>
      <c r="M661" s="7"/>
      <c r="N661" s="8"/>
      <c r="O661" s="8"/>
      <c r="P661" s="8"/>
      <c r="Q661" s="8"/>
      <c r="R661" s="8"/>
      <c r="S661" s="8" t="s">
        <v>63</v>
      </c>
      <c r="T661" s="7"/>
      <c r="U661" s="7"/>
      <c r="V661" s="7"/>
    </row>
    <row r="662" spans="2:22" ht="15.75" customHeight="1"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8"/>
      <c r="M662" s="7"/>
      <c r="N662" s="8"/>
      <c r="O662" s="8"/>
      <c r="P662" s="8"/>
      <c r="Q662" s="8"/>
      <c r="R662" s="8"/>
      <c r="S662" s="8" t="s">
        <v>63</v>
      </c>
      <c r="T662" s="7"/>
      <c r="U662" s="7"/>
      <c r="V662" s="7"/>
    </row>
    <row r="663" spans="2:22" ht="15.75" customHeight="1"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8"/>
      <c r="M663" s="7"/>
      <c r="N663" s="8"/>
      <c r="O663" s="8"/>
      <c r="P663" s="8"/>
      <c r="Q663" s="8"/>
      <c r="R663" s="8"/>
      <c r="S663" s="8" t="s">
        <v>63</v>
      </c>
      <c r="T663" s="7"/>
      <c r="U663" s="7"/>
      <c r="V663" s="7"/>
    </row>
    <row r="664" spans="2:22" ht="15.75" customHeight="1"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8"/>
      <c r="M664" s="7"/>
      <c r="N664" s="8"/>
      <c r="O664" s="8"/>
      <c r="P664" s="8"/>
      <c r="Q664" s="8"/>
      <c r="R664" s="8"/>
      <c r="S664" s="8" t="s">
        <v>63</v>
      </c>
      <c r="T664" s="7"/>
      <c r="U664" s="7"/>
      <c r="V664" s="7"/>
    </row>
    <row r="665" spans="2:22" ht="15.75" customHeight="1"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8"/>
      <c r="M665" s="7"/>
      <c r="N665" s="8"/>
      <c r="O665" s="8"/>
      <c r="P665" s="8"/>
      <c r="Q665" s="8"/>
      <c r="R665" s="8"/>
      <c r="S665" s="8" t="s">
        <v>63</v>
      </c>
      <c r="T665" s="7"/>
      <c r="U665" s="7"/>
      <c r="V665" s="7"/>
    </row>
    <row r="666" spans="2:22" ht="15.75" customHeight="1"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8"/>
      <c r="M666" s="7"/>
      <c r="N666" s="8"/>
      <c r="O666" s="8"/>
      <c r="P666" s="8"/>
      <c r="Q666" s="8"/>
      <c r="R666" s="8"/>
      <c r="S666" s="8" t="s">
        <v>63</v>
      </c>
      <c r="T666" s="7"/>
      <c r="U666" s="7"/>
      <c r="V666" s="7"/>
    </row>
    <row r="667" spans="2:22" ht="15.75" customHeight="1"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8"/>
      <c r="M667" s="7"/>
      <c r="N667" s="8"/>
      <c r="O667" s="8"/>
      <c r="P667" s="8"/>
      <c r="Q667" s="8"/>
      <c r="R667" s="8"/>
      <c r="S667" s="8" t="s">
        <v>63</v>
      </c>
      <c r="T667" s="7"/>
      <c r="U667" s="7"/>
      <c r="V667" s="7"/>
    </row>
    <row r="668" spans="2:22" ht="15.75" customHeight="1"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8"/>
      <c r="M668" s="7"/>
      <c r="N668" s="8"/>
      <c r="O668" s="8"/>
      <c r="P668" s="8"/>
      <c r="Q668" s="8"/>
      <c r="R668" s="8"/>
      <c r="S668" s="8" t="s">
        <v>63</v>
      </c>
      <c r="T668" s="7"/>
      <c r="U668" s="7"/>
      <c r="V668" s="7"/>
    </row>
    <row r="669" spans="2:22" ht="15.75" customHeight="1"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8"/>
      <c r="M669" s="7"/>
      <c r="N669" s="8"/>
      <c r="O669" s="8"/>
      <c r="P669" s="8"/>
      <c r="Q669" s="8"/>
      <c r="R669" s="8"/>
      <c r="S669" s="8" t="s">
        <v>63</v>
      </c>
      <c r="T669" s="7"/>
      <c r="U669" s="7"/>
      <c r="V669" s="7"/>
    </row>
    <row r="670" spans="2:22" ht="15.75" customHeight="1"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8"/>
      <c r="M670" s="7"/>
      <c r="N670" s="8"/>
      <c r="O670" s="8"/>
      <c r="P670" s="8"/>
      <c r="Q670" s="8"/>
      <c r="R670" s="8"/>
      <c r="S670" s="8" t="s">
        <v>63</v>
      </c>
      <c r="T670" s="7"/>
      <c r="U670" s="7"/>
      <c r="V670" s="7"/>
    </row>
    <row r="671" spans="2:22" ht="15.75" customHeight="1"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8"/>
      <c r="M671" s="7"/>
      <c r="N671" s="8"/>
      <c r="O671" s="8"/>
      <c r="P671" s="8"/>
      <c r="Q671" s="8"/>
      <c r="R671" s="8"/>
      <c r="S671" s="8" t="s">
        <v>63</v>
      </c>
      <c r="T671" s="7"/>
      <c r="U671" s="7"/>
      <c r="V671" s="7"/>
    </row>
    <row r="672" spans="2:22" ht="15.75" customHeight="1"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8"/>
      <c r="M672" s="7"/>
      <c r="N672" s="8"/>
      <c r="O672" s="8"/>
      <c r="P672" s="8"/>
      <c r="Q672" s="8"/>
      <c r="R672" s="8"/>
      <c r="S672" s="8" t="s">
        <v>63</v>
      </c>
      <c r="T672" s="7"/>
      <c r="U672" s="7"/>
      <c r="V672" s="7"/>
    </row>
    <row r="673" spans="2:22" ht="15.75" customHeight="1"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8"/>
      <c r="M673" s="7"/>
      <c r="N673" s="8"/>
      <c r="O673" s="8"/>
      <c r="P673" s="8"/>
      <c r="Q673" s="8"/>
      <c r="R673" s="8"/>
      <c r="S673" s="8" t="s">
        <v>63</v>
      </c>
      <c r="T673" s="7"/>
      <c r="U673" s="7"/>
      <c r="V673" s="7"/>
    </row>
    <row r="674" spans="2:22" ht="15.75" customHeight="1"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8"/>
      <c r="M674" s="7"/>
      <c r="N674" s="8"/>
      <c r="O674" s="8"/>
      <c r="P674" s="8"/>
      <c r="Q674" s="8"/>
      <c r="R674" s="8"/>
      <c r="S674" s="8" t="s">
        <v>63</v>
      </c>
      <c r="T674" s="7"/>
      <c r="U674" s="7"/>
      <c r="V674" s="7"/>
    </row>
    <row r="675" spans="2:22" ht="15.75" customHeight="1"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8"/>
      <c r="M675" s="7"/>
      <c r="N675" s="8"/>
      <c r="O675" s="8"/>
      <c r="P675" s="8"/>
      <c r="Q675" s="8"/>
      <c r="R675" s="8"/>
      <c r="S675" s="8" t="s">
        <v>63</v>
      </c>
      <c r="T675" s="7"/>
      <c r="U675" s="7"/>
      <c r="V675" s="7"/>
    </row>
    <row r="676" spans="2:22" ht="15.75" customHeight="1"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8"/>
      <c r="M676" s="7"/>
      <c r="N676" s="8"/>
      <c r="O676" s="8"/>
      <c r="P676" s="8"/>
      <c r="Q676" s="8"/>
      <c r="R676" s="8"/>
      <c r="S676" s="8" t="s">
        <v>63</v>
      </c>
      <c r="T676" s="7"/>
      <c r="U676" s="7"/>
      <c r="V676" s="7"/>
    </row>
    <row r="677" spans="2:22" ht="15.75" customHeight="1"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8"/>
      <c r="M677" s="7"/>
      <c r="N677" s="8"/>
      <c r="O677" s="8"/>
      <c r="P677" s="8"/>
      <c r="Q677" s="8"/>
      <c r="R677" s="8"/>
      <c r="S677" s="8" t="s">
        <v>63</v>
      </c>
      <c r="T677" s="7"/>
      <c r="U677" s="7"/>
      <c r="V677" s="7"/>
    </row>
    <row r="678" spans="2:22" ht="15.75" customHeight="1"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8"/>
      <c r="M678" s="7"/>
      <c r="N678" s="8"/>
      <c r="O678" s="8"/>
      <c r="P678" s="8"/>
      <c r="Q678" s="8"/>
      <c r="R678" s="8"/>
      <c r="S678" s="8" t="s">
        <v>63</v>
      </c>
      <c r="T678" s="7"/>
      <c r="U678" s="7"/>
      <c r="V678" s="7"/>
    </row>
    <row r="679" spans="2:22" ht="15.75" customHeight="1"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8"/>
      <c r="M679" s="7"/>
      <c r="N679" s="8"/>
      <c r="O679" s="8"/>
      <c r="P679" s="8"/>
      <c r="Q679" s="8"/>
      <c r="R679" s="8"/>
      <c r="S679" s="8" t="s">
        <v>63</v>
      </c>
      <c r="T679" s="7"/>
      <c r="U679" s="7"/>
      <c r="V679" s="7"/>
    </row>
    <row r="680" spans="2:22" ht="15.75" customHeight="1"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8"/>
      <c r="M680" s="7"/>
      <c r="N680" s="8"/>
      <c r="O680" s="8"/>
      <c r="P680" s="8"/>
      <c r="Q680" s="8"/>
      <c r="R680" s="8"/>
      <c r="S680" s="8" t="s">
        <v>63</v>
      </c>
      <c r="T680" s="7"/>
      <c r="U680" s="7"/>
      <c r="V680" s="7"/>
    </row>
    <row r="681" spans="2:22" ht="15.75" customHeight="1"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8"/>
      <c r="M681" s="7"/>
      <c r="N681" s="8"/>
      <c r="O681" s="8"/>
      <c r="P681" s="8"/>
      <c r="Q681" s="8"/>
      <c r="R681" s="8"/>
      <c r="S681" s="8" t="s">
        <v>63</v>
      </c>
      <c r="T681" s="7"/>
      <c r="U681" s="7"/>
      <c r="V681" s="7"/>
    </row>
    <row r="682" spans="2:22" ht="15.75" customHeight="1"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8"/>
      <c r="M682" s="7"/>
      <c r="N682" s="8"/>
      <c r="O682" s="8"/>
      <c r="P682" s="8"/>
      <c r="Q682" s="8"/>
      <c r="R682" s="8"/>
      <c r="S682" s="8" t="s">
        <v>63</v>
      </c>
      <c r="T682" s="7"/>
      <c r="U682" s="7"/>
      <c r="V682" s="7"/>
    </row>
    <row r="683" spans="2:22" ht="15.75" customHeight="1"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8"/>
      <c r="M683" s="7"/>
      <c r="N683" s="8"/>
      <c r="O683" s="8"/>
      <c r="P683" s="8"/>
      <c r="Q683" s="8"/>
      <c r="R683" s="8"/>
      <c r="S683" s="8" t="s">
        <v>63</v>
      </c>
      <c r="T683" s="7"/>
      <c r="U683" s="7"/>
      <c r="V683" s="7"/>
    </row>
    <row r="684" spans="2:22" ht="15.75" customHeight="1"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8"/>
      <c r="M684" s="7"/>
      <c r="N684" s="8"/>
      <c r="O684" s="8"/>
      <c r="P684" s="8"/>
      <c r="Q684" s="8"/>
      <c r="R684" s="8"/>
      <c r="S684" s="8" t="s">
        <v>63</v>
      </c>
      <c r="T684" s="7"/>
      <c r="U684" s="7"/>
      <c r="V684" s="7"/>
    </row>
    <row r="685" spans="2:22" ht="15.75" customHeight="1"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8"/>
      <c r="M685" s="7"/>
      <c r="N685" s="8"/>
      <c r="O685" s="8"/>
      <c r="P685" s="8"/>
      <c r="Q685" s="8"/>
      <c r="R685" s="8"/>
      <c r="S685" s="8" t="s">
        <v>63</v>
      </c>
      <c r="T685" s="7"/>
      <c r="U685" s="7"/>
      <c r="V685" s="7"/>
    </row>
    <row r="686" spans="2:22" ht="15.75" customHeight="1"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8"/>
      <c r="M686" s="7"/>
      <c r="N686" s="8"/>
      <c r="O686" s="8"/>
      <c r="P686" s="8"/>
      <c r="Q686" s="8"/>
      <c r="R686" s="8"/>
      <c r="S686" s="8" t="s">
        <v>63</v>
      </c>
      <c r="T686" s="7"/>
      <c r="U686" s="7"/>
      <c r="V686" s="7"/>
    </row>
    <row r="687" spans="2:22" ht="15.75" customHeight="1"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8"/>
      <c r="M687" s="7"/>
      <c r="N687" s="8"/>
      <c r="O687" s="8"/>
      <c r="P687" s="8"/>
      <c r="Q687" s="8"/>
      <c r="R687" s="8"/>
      <c r="S687" s="8" t="s">
        <v>63</v>
      </c>
      <c r="T687" s="7"/>
      <c r="U687" s="7"/>
      <c r="V687" s="7"/>
    </row>
    <row r="688" spans="2:22" ht="15.75" customHeight="1"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8"/>
      <c r="M688" s="7"/>
      <c r="N688" s="8"/>
      <c r="O688" s="8"/>
      <c r="P688" s="8"/>
      <c r="Q688" s="8"/>
      <c r="R688" s="8"/>
      <c r="S688" s="8" t="s">
        <v>63</v>
      </c>
      <c r="T688" s="7"/>
      <c r="U688" s="7"/>
      <c r="V688" s="7"/>
    </row>
    <row r="689" spans="2:22" ht="15.75" customHeight="1"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8"/>
      <c r="M689" s="7"/>
      <c r="N689" s="8"/>
      <c r="O689" s="8"/>
      <c r="P689" s="8"/>
      <c r="Q689" s="8"/>
      <c r="R689" s="8"/>
      <c r="S689" s="8" t="s">
        <v>63</v>
      </c>
      <c r="T689" s="7"/>
      <c r="U689" s="7"/>
      <c r="V689" s="7"/>
    </row>
    <row r="690" spans="2:22" ht="15.75" customHeight="1"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8"/>
      <c r="M690" s="7"/>
      <c r="N690" s="8"/>
      <c r="O690" s="8"/>
      <c r="P690" s="8"/>
      <c r="Q690" s="8"/>
      <c r="R690" s="8"/>
      <c r="S690" s="8" t="s">
        <v>63</v>
      </c>
      <c r="T690" s="7"/>
      <c r="U690" s="7"/>
      <c r="V690" s="7"/>
    </row>
    <row r="691" spans="2:22" ht="15.75" customHeight="1"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8"/>
      <c r="M691" s="7"/>
      <c r="N691" s="8"/>
      <c r="O691" s="8"/>
      <c r="P691" s="8"/>
      <c r="Q691" s="8"/>
      <c r="R691" s="8"/>
      <c r="S691" s="8" t="s">
        <v>63</v>
      </c>
      <c r="T691" s="7"/>
      <c r="U691" s="7"/>
      <c r="V691" s="7"/>
    </row>
    <row r="692" spans="2:22" ht="15.75" customHeight="1"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8"/>
      <c r="M692" s="7"/>
      <c r="N692" s="8"/>
      <c r="O692" s="8"/>
      <c r="P692" s="8"/>
      <c r="Q692" s="8"/>
      <c r="R692" s="8"/>
      <c r="S692" s="8" t="s">
        <v>63</v>
      </c>
      <c r="T692" s="7"/>
      <c r="U692" s="7"/>
      <c r="V692" s="7"/>
    </row>
    <row r="693" spans="2:22" ht="15.75" customHeight="1"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8"/>
      <c r="M693" s="7"/>
      <c r="N693" s="8"/>
      <c r="O693" s="8"/>
      <c r="P693" s="8"/>
      <c r="Q693" s="8"/>
      <c r="R693" s="8"/>
      <c r="S693" s="8" t="s">
        <v>63</v>
      </c>
      <c r="T693" s="7"/>
      <c r="U693" s="7"/>
      <c r="V693" s="7"/>
    </row>
    <row r="694" spans="2:22" ht="15.75" customHeight="1"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8"/>
      <c r="M694" s="7"/>
      <c r="N694" s="8"/>
      <c r="O694" s="8"/>
      <c r="P694" s="8"/>
      <c r="Q694" s="8"/>
      <c r="R694" s="8"/>
      <c r="S694" s="8" t="s">
        <v>63</v>
      </c>
      <c r="T694" s="7"/>
      <c r="U694" s="7"/>
      <c r="V694" s="7"/>
    </row>
    <row r="695" spans="2:22" ht="15.75" customHeight="1"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8"/>
      <c r="M695" s="7"/>
      <c r="N695" s="8"/>
      <c r="O695" s="8"/>
      <c r="P695" s="8"/>
      <c r="Q695" s="8"/>
      <c r="R695" s="8"/>
      <c r="S695" s="8" t="s">
        <v>63</v>
      </c>
      <c r="T695" s="7"/>
      <c r="U695" s="7"/>
      <c r="V695" s="7"/>
    </row>
    <row r="696" spans="2:22" ht="15.75" customHeight="1"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8"/>
      <c r="M696" s="7"/>
      <c r="N696" s="8"/>
      <c r="O696" s="8"/>
      <c r="P696" s="8"/>
      <c r="Q696" s="8"/>
      <c r="R696" s="8"/>
      <c r="S696" s="8" t="s">
        <v>63</v>
      </c>
      <c r="T696" s="7"/>
      <c r="U696" s="7"/>
      <c r="V696" s="7"/>
    </row>
    <row r="697" spans="2:22" ht="15.75" customHeight="1"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8"/>
      <c r="M697" s="7"/>
      <c r="N697" s="8"/>
      <c r="O697" s="8"/>
      <c r="P697" s="8"/>
      <c r="Q697" s="8"/>
      <c r="R697" s="8"/>
      <c r="S697" s="8" t="s">
        <v>63</v>
      </c>
      <c r="T697" s="7"/>
      <c r="U697" s="7"/>
      <c r="V697" s="7"/>
    </row>
    <row r="698" spans="2:22" ht="15.75" customHeight="1"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8"/>
      <c r="M698" s="7"/>
      <c r="N698" s="8"/>
      <c r="O698" s="8"/>
      <c r="P698" s="8"/>
      <c r="Q698" s="8"/>
      <c r="R698" s="8"/>
      <c r="S698" s="8" t="s">
        <v>63</v>
      </c>
      <c r="T698" s="7"/>
      <c r="U698" s="7"/>
      <c r="V698" s="7"/>
    </row>
    <row r="699" spans="2:22" ht="15.75" customHeight="1"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8"/>
      <c r="M699" s="7"/>
      <c r="N699" s="8"/>
      <c r="O699" s="8"/>
      <c r="P699" s="8"/>
      <c r="Q699" s="8"/>
      <c r="R699" s="8"/>
      <c r="S699" s="8" t="s">
        <v>63</v>
      </c>
      <c r="T699" s="7"/>
      <c r="U699" s="7"/>
      <c r="V699" s="7"/>
    </row>
    <row r="700" spans="2:22" ht="15.75" customHeight="1"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8"/>
      <c r="M700" s="7"/>
      <c r="N700" s="8"/>
      <c r="O700" s="8"/>
      <c r="P700" s="8"/>
      <c r="Q700" s="8"/>
      <c r="R700" s="8"/>
      <c r="S700" s="8" t="s">
        <v>63</v>
      </c>
      <c r="T700" s="7"/>
      <c r="U700" s="7"/>
      <c r="V700" s="7"/>
    </row>
    <row r="701" spans="2:22" ht="15.75" customHeight="1"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8"/>
      <c r="M701" s="7"/>
      <c r="N701" s="8"/>
      <c r="O701" s="8"/>
      <c r="P701" s="8"/>
      <c r="Q701" s="8"/>
      <c r="R701" s="8"/>
      <c r="S701" s="8" t="s">
        <v>63</v>
      </c>
      <c r="T701" s="7"/>
      <c r="U701" s="7"/>
      <c r="V701" s="7"/>
    </row>
    <row r="702" spans="2:22" ht="15.75" customHeight="1"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8"/>
      <c r="M702" s="7"/>
      <c r="N702" s="8"/>
      <c r="O702" s="8"/>
      <c r="P702" s="8"/>
      <c r="Q702" s="8"/>
      <c r="R702" s="8"/>
      <c r="S702" s="8" t="s">
        <v>63</v>
      </c>
      <c r="T702" s="7"/>
      <c r="U702" s="7"/>
      <c r="V702" s="7"/>
    </row>
    <row r="703" spans="2:22" ht="15.75" customHeight="1"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8"/>
      <c r="M703" s="7"/>
      <c r="N703" s="8"/>
      <c r="O703" s="8"/>
      <c r="P703" s="8"/>
      <c r="Q703" s="8"/>
      <c r="R703" s="8"/>
      <c r="S703" s="8" t="s">
        <v>63</v>
      </c>
      <c r="T703" s="7"/>
      <c r="U703" s="7"/>
      <c r="V703" s="7"/>
    </row>
    <row r="704" spans="2:22" ht="15.75" customHeight="1"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8"/>
      <c r="M704" s="7"/>
      <c r="N704" s="8"/>
      <c r="O704" s="8"/>
      <c r="P704" s="8"/>
      <c r="Q704" s="8"/>
      <c r="R704" s="8"/>
      <c r="S704" s="8" t="s">
        <v>63</v>
      </c>
      <c r="T704" s="7"/>
      <c r="U704" s="7"/>
      <c r="V704" s="7"/>
    </row>
    <row r="705" spans="2:22" ht="15.75" customHeight="1"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8"/>
      <c r="M705" s="7"/>
      <c r="N705" s="8"/>
      <c r="O705" s="8"/>
      <c r="P705" s="8"/>
      <c r="Q705" s="8"/>
      <c r="R705" s="8"/>
      <c r="S705" s="8" t="s">
        <v>63</v>
      </c>
      <c r="T705" s="7"/>
      <c r="U705" s="7"/>
      <c r="V705" s="7"/>
    </row>
    <row r="706" spans="2:22" ht="15.75" customHeight="1"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8"/>
      <c r="M706" s="7"/>
      <c r="N706" s="8"/>
      <c r="O706" s="8"/>
      <c r="P706" s="8"/>
      <c r="Q706" s="8"/>
      <c r="R706" s="8"/>
      <c r="S706" s="8" t="s">
        <v>63</v>
      </c>
      <c r="T706" s="7"/>
      <c r="U706" s="7"/>
      <c r="V706" s="7"/>
    </row>
    <row r="707" spans="2:22" ht="15.75" customHeight="1"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8"/>
      <c r="M707" s="7"/>
      <c r="N707" s="8"/>
      <c r="O707" s="8"/>
      <c r="P707" s="8"/>
      <c r="Q707" s="8"/>
      <c r="R707" s="8"/>
      <c r="S707" s="8" t="s">
        <v>63</v>
      </c>
      <c r="T707" s="7"/>
      <c r="U707" s="7"/>
      <c r="V707" s="7"/>
    </row>
    <row r="708" spans="2:22" ht="15.75" customHeight="1"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8"/>
      <c r="M708" s="7"/>
      <c r="N708" s="8"/>
      <c r="O708" s="8"/>
      <c r="P708" s="8"/>
      <c r="Q708" s="8"/>
      <c r="R708" s="8"/>
      <c r="S708" s="8" t="s">
        <v>63</v>
      </c>
      <c r="T708" s="7"/>
      <c r="U708" s="7"/>
      <c r="V708" s="7"/>
    </row>
    <row r="709" spans="2:22" ht="15.75" customHeight="1"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8"/>
      <c r="M709" s="7"/>
      <c r="N709" s="8"/>
      <c r="O709" s="8"/>
      <c r="P709" s="8"/>
      <c r="Q709" s="8"/>
      <c r="R709" s="8"/>
      <c r="S709" s="8" t="s">
        <v>63</v>
      </c>
      <c r="T709" s="7"/>
      <c r="U709" s="7"/>
      <c r="V709" s="7"/>
    </row>
    <row r="710" spans="2:22" ht="15.75" customHeight="1"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8"/>
      <c r="M710" s="7"/>
      <c r="N710" s="8"/>
      <c r="O710" s="8"/>
      <c r="P710" s="8"/>
      <c r="Q710" s="8"/>
      <c r="R710" s="8"/>
      <c r="S710" s="8" t="s">
        <v>63</v>
      </c>
      <c r="T710" s="7"/>
      <c r="U710" s="7"/>
      <c r="V710" s="7"/>
    </row>
    <row r="711" spans="2:22" ht="15.75" customHeight="1"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8"/>
      <c r="M711" s="7"/>
      <c r="N711" s="8"/>
      <c r="O711" s="8"/>
      <c r="P711" s="8"/>
      <c r="Q711" s="8"/>
      <c r="R711" s="8"/>
      <c r="S711" s="8" t="s">
        <v>63</v>
      </c>
      <c r="T711" s="7"/>
      <c r="U711" s="7"/>
      <c r="V711" s="7"/>
    </row>
    <row r="712" spans="2:22" ht="15.75" customHeight="1"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8"/>
      <c r="M712" s="7"/>
      <c r="N712" s="8"/>
      <c r="O712" s="8"/>
      <c r="P712" s="8"/>
      <c r="Q712" s="8"/>
      <c r="R712" s="8"/>
      <c r="S712" s="8" t="s">
        <v>63</v>
      </c>
      <c r="T712" s="7"/>
      <c r="U712" s="7"/>
      <c r="V712" s="7"/>
    </row>
    <row r="713" spans="2:22" ht="15.75" customHeight="1"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8"/>
      <c r="M713" s="7"/>
      <c r="N713" s="8"/>
      <c r="O713" s="8"/>
      <c r="P713" s="8"/>
      <c r="Q713" s="8"/>
      <c r="R713" s="8"/>
      <c r="S713" s="8" t="s">
        <v>63</v>
      </c>
      <c r="T713" s="7"/>
      <c r="U713" s="7"/>
      <c r="V713" s="7"/>
    </row>
    <row r="714" spans="2:22" ht="15.75" customHeight="1"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8"/>
      <c r="M714" s="7"/>
      <c r="N714" s="8"/>
      <c r="O714" s="8"/>
      <c r="P714" s="8"/>
      <c r="Q714" s="8"/>
      <c r="R714" s="8"/>
      <c r="S714" s="8" t="s">
        <v>63</v>
      </c>
      <c r="T714" s="7"/>
      <c r="U714" s="7"/>
      <c r="V714" s="7"/>
    </row>
    <row r="715" spans="2:22" ht="15.75" customHeight="1"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8"/>
      <c r="M715" s="7"/>
      <c r="N715" s="8"/>
      <c r="O715" s="8"/>
      <c r="P715" s="8"/>
      <c r="Q715" s="8"/>
      <c r="R715" s="8"/>
      <c r="S715" s="8" t="s">
        <v>63</v>
      </c>
      <c r="T715" s="7"/>
      <c r="U715" s="7"/>
      <c r="V715" s="7"/>
    </row>
    <row r="716" spans="2:22" ht="15.75" customHeight="1"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8"/>
      <c r="M716" s="7"/>
      <c r="N716" s="8"/>
      <c r="O716" s="8"/>
      <c r="P716" s="8"/>
      <c r="Q716" s="8"/>
      <c r="R716" s="8"/>
      <c r="S716" s="8" t="s">
        <v>63</v>
      </c>
      <c r="T716" s="7"/>
      <c r="U716" s="7"/>
      <c r="V716" s="7"/>
    </row>
    <row r="717" spans="2:22" ht="15.75" customHeight="1"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8"/>
      <c r="M717" s="7"/>
      <c r="N717" s="8"/>
      <c r="O717" s="8"/>
      <c r="P717" s="8"/>
      <c r="Q717" s="8"/>
      <c r="R717" s="8"/>
      <c r="S717" s="8" t="s">
        <v>63</v>
      </c>
      <c r="T717" s="7"/>
      <c r="U717" s="7"/>
      <c r="V717" s="7"/>
    </row>
    <row r="718" spans="2:22" ht="15.75" customHeight="1"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8"/>
      <c r="M718" s="7"/>
      <c r="N718" s="8"/>
      <c r="O718" s="8"/>
      <c r="P718" s="8"/>
      <c r="Q718" s="8"/>
      <c r="R718" s="8"/>
      <c r="S718" s="8" t="s">
        <v>63</v>
      </c>
      <c r="T718" s="7"/>
      <c r="U718" s="7"/>
      <c r="V718" s="7"/>
    </row>
    <row r="719" spans="2:22" ht="15.75" customHeight="1"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8"/>
      <c r="M719" s="7"/>
      <c r="N719" s="8"/>
      <c r="O719" s="8"/>
      <c r="P719" s="8"/>
      <c r="Q719" s="8"/>
      <c r="R719" s="8"/>
      <c r="S719" s="8" t="s">
        <v>63</v>
      </c>
      <c r="T719" s="7"/>
      <c r="U719" s="7"/>
      <c r="V719" s="7"/>
    </row>
    <row r="720" spans="2:22" ht="15.75" customHeight="1"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8"/>
      <c r="M720" s="7"/>
      <c r="N720" s="8"/>
      <c r="O720" s="8"/>
      <c r="P720" s="8"/>
      <c r="Q720" s="8"/>
      <c r="R720" s="8"/>
      <c r="S720" s="8" t="s">
        <v>63</v>
      </c>
      <c r="T720" s="7"/>
      <c r="U720" s="7"/>
      <c r="V720" s="7"/>
    </row>
    <row r="721" spans="2:22" ht="15.75" customHeight="1"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8"/>
      <c r="M721" s="7"/>
      <c r="N721" s="8"/>
      <c r="O721" s="8"/>
      <c r="P721" s="8"/>
      <c r="Q721" s="8"/>
      <c r="R721" s="8"/>
      <c r="S721" s="8" t="s">
        <v>63</v>
      </c>
      <c r="T721" s="7"/>
      <c r="U721" s="7"/>
      <c r="V721" s="7"/>
    </row>
    <row r="722" spans="2:22" ht="15.75" customHeight="1"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8"/>
      <c r="M722" s="7"/>
      <c r="N722" s="8"/>
      <c r="O722" s="8"/>
      <c r="P722" s="8"/>
      <c r="Q722" s="8"/>
      <c r="R722" s="8"/>
      <c r="S722" s="8" t="s">
        <v>63</v>
      </c>
      <c r="T722" s="7"/>
      <c r="U722" s="7"/>
      <c r="V722" s="7"/>
    </row>
    <row r="723" spans="2:22" ht="15.75" customHeight="1"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8"/>
      <c r="M723" s="7"/>
      <c r="N723" s="8"/>
      <c r="O723" s="8"/>
      <c r="P723" s="8"/>
      <c r="Q723" s="8"/>
      <c r="R723" s="8"/>
      <c r="S723" s="8" t="s">
        <v>63</v>
      </c>
      <c r="T723" s="7"/>
      <c r="U723" s="7"/>
      <c r="V723" s="7"/>
    </row>
    <row r="724" spans="2:22" ht="15.75" customHeight="1"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8"/>
      <c r="M724" s="7"/>
      <c r="N724" s="8"/>
      <c r="O724" s="8"/>
      <c r="P724" s="8"/>
      <c r="Q724" s="8"/>
      <c r="R724" s="8"/>
      <c r="S724" s="8" t="s">
        <v>63</v>
      </c>
      <c r="T724" s="7"/>
      <c r="U724" s="7"/>
      <c r="V724" s="7"/>
    </row>
    <row r="725" spans="2:22" ht="15.75" customHeight="1"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8"/>
      <c r="M725" s="7"/>
      <c r="N725" s="8"/>
      <c r="O725" s="8"/>
      <c r="P725" s="8"/>
      <c r="Q725" s="8"/>
      <c r="R725" s="8"/>
      <c r="S725" s="8" t="s">
        <v>63</v>
      </c>
      <c r="T725" s="7"/>
      <c r="U725" s="7"/>
      <c r="V725" s="7"/>
    </row>
    <row r="726" spans="2:22" ht="15.75" customHeight="1"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8"/>
      <c r="M726" s="7"/>
      <c r="N726" s="8"/>
      <c r="O726" s="8"/>
      <c r="P726" s="8"/>
      <c r="Q726" s="8"/>
      <c r="R726" s="8"/>
      <c r="S726" s="8" t="s">
        <v>63</v>
      </c>
      <c r="T726" s="7"/>
      <c r="U726" s="7"/>
      <c r="V726" s="7"/>
    </row>
    <row r="727" spans="2:22" ht="15.75" customHeight="1"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8"/>
      <c r="M727" s="7"/>
      <c r="N727" s="8"/>
      <c r="O727" s="8"/>
      <c r="P727" s="8"/>
      <c r="Q727" s="8"/>
      <c r="R727" s="8"/>
      <c r="S727" s="8" t="s">
        <v>63</v>
      </c>
      <c r="T727" s="7"/>
      <c r="U727" s="7"/>
      <c r="V727" s="7"/>
    </row>
    <row r="728" spans="2:22" ht="15.75" customHeight="1"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8"/>
      <c r="M728" s="7"/>
      <c r="N728" s="8"/>
      <c r="O728" s="8"/>
      <c r="P728" s="8"/>
      <c r="Q728" s="8"/>
      <c r="R728" s="8"/>
      <c r="S728" s="8" t="s">
        <v>63</v>
      </c>
      <c r="T728" s="7"/>
      <c r="U728" s="7"/>
      <c r="V728" s="7"/>
    </row>
    <row r="729" spans="2:22" ht="15.75" customHeight="1"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8"/>
      <c r="M729" s="7"/>
      <c r="N729" s="8"/>
      <c r="O729" s="8"/>
      <c r="P729" s="8"/>
      <c r="Q729" s="8"/>
      <c r="R729" s="8"/>
      <c r="S729" s="8" t="s">
        <v>63</v>
      </c>
      <c r="T729" s="7"/>
      <c r="U729" s="7"/>
      <c r="V729" s="7"/>
    </row>
    <row r="730" spans="2:22" ht="15.75" customHeight="1"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8"/>
      <c r="M730" s="7"/>
      <c r="N730" s="8"/>
      <c r="O730" s="8"/>
      <c r="P730" s="8"/>
      <c r="Q730" s="8"/>
      <c r="R730" s="8"/>
      <c r="S730" s="8" t="s">
        <v>63</v>
      </c>
      <c r="T730" s="7"/>
      <c r="U730" s="7"/>
      <c r="V730" s="7"/>
    </row>
    <row r="731" spans="2:22" ht="15.75" customHeight="1"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8"/>
      <c r="M731" s="7"/>
      <c r="N731" s="8"/>
      <c r="O731" s="8"/>
      <c r="P731" s="8"/>
      <c r="Q731" s="8"/>
      <c r="R731" s="8"/>
      <c r="S731" s="8" t="s">
        <v>63</v>
      </c>
      <c r="T731" s="7"/>
      <c r="U731" s="7"/>
      <c r="V731" s="7"/>
    </row>
    <row r="732" spans="2:22" ht="15.75" customHeight="1"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8"/>
      <c r="M732" s="7"/>
      <c r="N732" s="8"/>
      <c r="O732" s="8"/>
      <c r="P732" s="8"/>
      <c r="Q732" s="8"/>
      <c r="R732" s="8"/>
      <c r="S732" s="8" t="s">
        <v>63</v>
      </c>
      <c r="T732" s="7"/>
      <c r="U732" s="7"/>
      <c r="V732" s="7"/>
    </row>
    <row r="733" spans="2:22" ht="15.75" customHeight="1"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8"/>
      <c r="M733" s="7"/>
      <c r="N733" s="8"/>
      <c r="O733" s="8"/>
      <c r="P733" s="8"/>
      <c r="Q733" s="8"/>
      <c r="R733" s="8"/>
      <c r="S733" s="8" t="s">
        <v>63</v>
      </c>
      <c r="T733" s="7"/>
      <c r="U733" s="7"/>
      <c r="V733" s="7"/>
    </row>
    <row r="734" spans="2:22" ht="15.75" customHeight="1"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8"/>
      <c r="M734" s="7"/>
      <c r="N734" s="8"/>
      <c r="O734" s="8"/>
      <c r="P734" s="8"/>
      <c r="Q734" s="8"/>
      <c r="R734" s="8"/>
      <c r="S734" s="8" t="s">
        <v>63</v>
      </c>
      <c r="T734" s="7"/>
      <c r="U734" s="7"/>
      <c r="V734" s="7"/>
    </row>
    <row r="735" spans="2:22" ht="15.75" customHeight="1"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8"/>
      <c r="M735" s="7"/>
      <c r="N735" s="8"/>
      <c r="O735" s="8"/>
      <c r="P735" s="8"/>
      <c r="Q735" s="8"/>
      <c r="R735" s="8"/>
      <c r="S735" s="8" t="s">
        <v>63</v>
      </c>
      <c r="T735" s="7"/>
      <c r="U735" s="7"/>
      <c r="V735" s="7"/>
    </row>
    <row r="736" spans="2:22" ht="15.75" customHeight="1"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8"/>
      <c r="M736" s="7"/>
      <c r="N736" s="8"/>
      <c r="O736" s="8"/>
      <c r="P736" s="8"/>
      <c r="Q736" s="8"/>
      <c r="R736" s="8"/>
      <c r="S736" s="8" t="s">
        <v>63</v>
      </c>
      <c r="T736" s="7"/>
      <c r="U736" s="7"/>
      <c r="V736" s="7"/>
    </row>
    <row r="737" spans="2:22" ht="15.75" customHeight="1"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8"/>
      <c r="M737" s="7"/>
      <c r="N737" s="8"/>
      <c r="O737" s="8"/>
      <c r="P737" s="8"/>
      <c r="Q737" s="8"/>
      <c r="R737" s="8"/>
      <c r="S737" s="8" t="s">
        <v>63</v>
      </c>
      <c r="T737" s="7"/>
      <c r="U737" s="7"/>
      <c r="V737" s="7"/>
    </row>
    <row r="738" spans="2:22" ht="15.75" customHeight="1"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8"/>
      <c r="M738" s="7"/>
      <c r="N738" s="8"/>
      <c r="O738" s="8"/>
      <c r="P738" s="8"/>
      <c r="Q738" s="8"/>
      <c r="R738" s="8"/>
      <c r="S738" s="8" t="s">
        <v>63</v>
      </c>
      <c r="T738" s="7"/>
      <c r="U738" s="7"/>
      <c r="V738" s="7"/>
    </row>
    <row r="739" spans="2:22" ht="15.75" customHeight="1"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8"/>
      <c r="M739" s="7"/>
      <c r="N739" s="8"/>
      <c r="O739" s="8"/>
      <c r="P739" s="8"/>
      <c r="Q739" s="8"/>
      <c r="R739" s="8"/>
      <c r="S739" s="8" t="s">
        <v>63</v>
      </c>
      <c r="T739" s="7"/>
      <c r="U739" s="7"/>
      <c r="V739" s="7"/>
    </row>
    <row r="740" spans="2:22" ht="15.75" customHeight="1"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8"/>
      <c r="M740" s="7"/>
      <c r="N740" s="8"/>
      <c r="O740" s="8"/>
      <c r="P740" s="8"/>
      <c r="Q740" s="8"/>
      <c r="R740" s="8"/>
      <c r="S740" s="8" t="s">
        <v>63</v>
      </c>
      <c r="T740" s="7"/>
      <c r="U740" s="7"/>
      <c r="V740" s="7"/>
    </row>
    <row r="741" spans="2:22" ht="15.75" customHeight="1"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8"/>
      <c r="M741" s="7"/>
      <c r="N741" s="8"/>
      <c r="O741" s="8"/>
      <c r="P741" s="8"/>
      <c r="Q741" s="8"/>
      <c r="R741" s="8"/>
      <c r="S741" s="8" t="s">
        <v>63</v>
      </c>
      <c r="T741" s="7"/>
      <c r="U741" s="7"/>
      <c r="V741" s="7"/>
    </row>
    <row r="742" spans="2:22" ht="15.75" customHeight="1"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8"/>
      <c r="M742" s="7"/>
      <c r="N742" s="8"/>
      <c r="O742" s="8"/>
      <c r="P742" s="8"/>
      <c r="Q742" s="8"/>
      <c r="R742" s="8"/>
      <c r="S742" s="8" t="s">
        <v>63</v>
      </c>
      <c r="T742" s="7"/>
      <c r="U742" s="7"/>
      <c r="V742" s="7"/>
    </row>
    <row r="743" spans="2:22" ht="15.75" customHeight="1"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8"/>
      <c r="M743" s="7"/>
      <c r="N743" s="8"/>
      <c r="O743" s="8"/>
      <c r="P743" s="8"/>
      <c r="Q743" s="8"/>
      <c r="R743" s="8"/>
      <c r="S743" s="8" t="s">
        <v>63</v>
      </c>
      <c r="T743" s="7"/>
      <c r="U743" s="7"/>
      <c r="V743" s="7"/>
    </row>
    <row r="744" spans="2:22" ht="15.75" customHeight="1"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8"/>
      <c r="M744" s="7"/>
      <c r="N744" s="8"/>
      <c r="O744" s="8"/>
      <c r="P744" s="8"/>
      <c r="Q744" s="8"/>
      <c r="R744" s="8"/>
      <c r="S744" s="8" t="s">
        <v>63</v>
      </c>
      <c r="T744" s="7"/>
      <c r="U744" s="7"/>
      <c r="V744" s="7"/>
    </row>
    <row r="745" spans="2:22" ht="15.75" customHeight="1"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8"/>
      <c r="M745" s="7"/>
      <c r="N745" s="8"/>
      <c r="O745" s="8"/>
      <c r="P745" s="8"/>
      <c r="Q745" s="8"/>
      <c r="R745" s="8"/>
      <c r="S745" s="8" t="s">
        <v>63</v>
      </c>
      <c r="T745" s="7"/>
      <c r="U745" s="7"/>
      <c r="V745" s="7"/>
    </row>
    <row r="746" spans="2:22" ht="15.75" customHeight="1"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8"/>
      <c r="M746" s="7"/>
      <c r="N746" s="8"/>
      <c r="O746" s="8"/>
      <c r="P746" s="8"/>
      <c r="Q746" s="8"/>
      <c r="R746" s="8"/>
      <c r="S746" s="8" t="s">
        <v>63</v>
      </c>
      <c r="T746" s="7"/>
      <c r="U746" s="7"/>
      <c r="V746" s="7"/>
    </row>
    <row r="747" spans="2:22" ht="15.75" customHeight="1"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8"/>
      <c r="M747" s="7"/>
      <c r="N747" s="8"/>
      <c r="O747" s="8"/>
      <c r="P747" s="8"/>
      <c r="Q747" s="8"/>
      <c r="R747" s="8"/>
      <c r="S747" s="8" t="s">
        <v>63</v>
      </c>
      <c r="T747" s="7"/>
      <c r="U747" s="7"/>
      <c r="V747" s="7"/>
    </row>
    <row r="748" spans="2:22" ht="15.75" customHeight="1"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8"/>
      <c r="M748" s="7"/>
      <c r="N748" s="8"/>
      <c r="O748" s="8"/>
      <c r="P748" s="8"/>
      <c r="Q748" s="8"/>
      <c r="R748" s="8"/>
      <c r="S748" s="8" t="s">
        <v>63</v>
      </c>
      <c r="T748" s="7"/>
      <c r="U748" s="7"/>
      <c r="V748" s="7"/>
    </row>
    <row r="749" spans="2:22" ht="15.75" customHeight="1"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8"/>
      <c r="M749" s="7"/>
      <c r="N749" s="8"/>
      <c r="O749" s="8"/>
      <c r="P749" s="8"/>
      <c r="Q749" s="8"/>
      <c r="R749" s="8"/>
      <c r="S749" s="8" t="s">
        <v>63</v>
      </c>
      <c r="T749" s="7"/>
      <c r="U749" s="7"/>
      <c r="V749" s="7"/>
    </row>
    <row r="750" spans="2:22" ht="15.75" customHeight="1"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8"/>
      <c r="M750" s="7"/>
      <c r="N750" s="8"/>
      <c r="O750" s="8"/>
      <c r="P750" s="8"/>
      <c r="Q750" s="8"/>
      <c r="R750" s="8"/>
      <c r="S750" s="8" t="s">
        <v>63</v>
      </c>
      <c r="T750" s="7"/>
      <c r="U750" s="7"/>
      <c r="V750" s="7"/>
    </row>
    <row r="751" spans="2:22" ht="15.75" customHeight="1"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8"/>
      <c r="M751" s="7"/>
      <c r="N751" s="8"/>
      <c r="O751" s="8"/>
      <c r="P751" s="8"/>
      <c r="Q751" s="8"/>
      <c r="R751" s="8"/>
      <c r="S751" s="8" t="s">
        <v>63</v>
      </c>
      <c r="T751" s="7"/>
      <c r="U751" s="7"/>
      <c r="V751" s="7"/>
    </row>
    <row r="752" spans="2:22" ht="15.75" customHeight="1"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8"/>
      <c r="M752" s="7"/>
      <c r="N752" s="8"/>
      <c r="O752" s="8"/>
      <c r="P752" s="8"/>
      <c r="Q752" s="8"/>
      <c r="R752" s="8"/>
      <c r="S752" s="8" t="s">
        <v>63</v>
      </c>
      <c r="T752" s="7"/>
      <c r="U752" s="7"/>
      <c r="V752" s="7"/>
    </row>
    <row r="753" spans="2:22" ht="15.75" customHeight="1"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8"/>
      <c r="M753" s="7"/>
      <c r="N753" s="8"/>
      <c r="O753" s="8"/>
      <c r="P753" s="8"/>
      <c r="Q753" s="8"/>
      <c r="R753" s="8"/>
      <c r="S753" s="8" t="s">
        <v>63</v>
      </c>
      <c r="T753" s="7"/>
      <c r="U753" s="7"/>
      <c r="V753" s="7"/>
    </row>
    <row r="754" spans="2:22" ht="15.75" customHeight="1"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8"/>
      <c r="M754" s="7"/>
      <c r="N754" s="8"/>
      <c r="O754" s="8"/>
      <c r="P754" s="8"/>
      <c r="Q754" s="8"/>
      <c r="R754" s="8"/>
      <c r="S754" s="8" t="s">
        <v>63</v>
      </c>
      <c r="T754" s="7"/>
      <c r="U754" s="7"/>
      <c r="V754" s="7"/>
    </row>
    <row r="755" spans="2:22" ht="15.75" customHeight="1"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8"/>
      <c r="M755" s="7"/>
      <c r="N755" s="8"/>
      <c r="O755" s="8"/>
      <c r="P755" s="8"/>
      <c r="Q755" s="8"/>
      <c r="R755" s="8"/>
      <c r="S755" s="8" t="s">
        <v>63</v>
      </c>
      <c r="T755" s="7"/>
      <c r="U755" s="7"/>
      <c r="V755" s="7"/>
    </row>
    <row r="756" spans="2:22" ht="15.75" customHeight="1"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8"/>
      <c r="M756" s="7"/>
      <c r="N756" s="8"/>
      <c r="O756" s="8"/>
      <c r="P756" s="8"/>
      <c r="Q756" s="8"/>
      <c r="R756" s="8"/>
      <c r="S756" s="8" t="s">
        <v>63</v>
      </c>
      <c r="T756" s="7"/>
      <c r="U756" s="7"/>
      <c r="V756" s="7"/>
    </row>
    <row r="757" spans="2:22" ht="15.75" customHeight="1"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8"/>
      <c r="M757" s="7"/>
      <c r="N757" s="8"/>
      <c r="O757" s="8"/>
      <c r="P757" s="8"/>
      <c r="Q757" s="8"/>
      <c r="R757" s="8"/>
      <c r="S757" s="8" t="s">
        <v>63</v>
      </c>
      <c r="T757" s="7"/>
      <c r="U757" s="7"/>
      <c r="V757" s="7"/>
    </row>
    <row r="758" spans="2:22" ht="15.75" customHeight="1"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8"/>
      <c r="M758" s="7"/>
      <c r="N758" s="8"/>
      <c r="O758" s="8"/>
      <c r="P758" s="8"/>
      <c r="Q758" s="8"/>
      <c r="R758" s="8"/>
      <c r="S758" s="8" t="s">
        <v>63</v>
      </c>
      <c r="T758" s="7"/>
      <c r="U758" s="7"/>
      <c r="V758" s="7"/>
    </row>
    <row r="759" spans="2:22" ht="15.75" customHeight="1"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8"/>
      <c r="M759" s="7"/>
      <c r="N759" s="8"/>
      <c r="O759" s="8"/>
      <c r="P759" s="8"/>
      <c r="Q759" s="8"/>
      <c r="R759" s="8"/>
      <c r="S759" s="8" t="s">
        <v>63</v>
      </c>
      <c r="T759" s="7"/>
      <c r="U759" s="7"/>
      <c r="V759" s="7"/>
    </row>
    <row r="760" spans="2:22" ht="15.75" customHeight="1"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8"/>
      <c r="M760" s="7"/>
      <c r="N760" s="8"/>
      <c r="O760" s="8"/>
      <c r="P760" s="8"/>
      <c r="Q760" s="8"/>
      <c r="R760" s="8"/>
      <c r="S760" s="8" t="s">
        <v>63</v>
      </c>
      <c r="T760" s="7"/>
      <c r="U760" s="7"/>
      <c r="V760" s="7"/>
    </row>
    <row r="761" spans="2:22" ht="15.75" customHeight="1"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8"/>
      <c r="M761" s="7"/>
      <c r="N761" s="8"/>
      <c r="O761" s="8"/>
      <c r="P761" s="8"/>
      <c r="Q761" s="8"/>
      <c r="R761" s="8"/>
      <c r="S761" s="8" t="s">
        <v>63</v>
      </c>
      <c r="T761" s="7"/>
      <c r="U761" s="7"/>
      <c r="V761" s="7"/>
    </row>
    <row r="762" spans="2:22" ht="15.75" customHeight="1"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8"/>
      <c r="M762" s="7"/>
      <c r="N762" s="8"/>
      <c r="O762" s="8"/>
      <c r="P762" s="8"/>
      <c r="Q762" s="8"/>
      <c r="R762" s="8"/>
      <c r="S762" s="8" t="s">
        <v>63</v>
      </c>
      <c r="T762" s="7"/>
      <c r="U762" s="7"/>
      <c r="V762" s="7"/>
    </row>
    <row r="763" spans="2:22" ht="15.75" customHeight="1"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8"/>
      <c r="M763" s="7"/>
      <c r="N763" s="8"/>
      <c r="O763" s="8"/>
      <c r="P763" s="8"/>
      <c r="Q763" s="8"/>
      <c r="R763" s="8"/>
      <c r="S763" s="8" t="s">
        <v>63</v>
      </c>
      <c r="T763" s="7"/>
      <c r="U763" s="7"/>
      <c r="V763" s="7"/>
    </row>
    <row r="764" spans="2:22" ht="15.75" customHeight="1"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8"/>
      <c r="M764" s="7"/>
      <c r="N764" s="8"/>
      <c r="O764" s="8"/>
      <c r="P764" s="8"/>
      <c r="Q764" s="8"/>
      <c r="R764" s="8"/>
      <c r="S764" s="8" t="s">
        <v>63</v>
      </c>
      <c r="T764" s="7"/>
      <c r="U764" s="7"/>
      <c r="V764" s="7"/>
    </row>
    <row r="765" spans="2:22" ht="15.75" customHeight="1"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8"/>
      <c r="M765" s="7"/>
      <c r="N765" s="8"/>
      <c r="O765" s="8"/>
      <c r="P765" s="8"/>
      <c r="Q765" s="8"/>
      <c r="R765" s="8"/>
      <c r="S765" s="8" t="s">
        <v>63</v>
      </c>
      <c r="T765" s="7"/>
      <c r="U765" s="7"/>
      <c r="V765" s="7"/>
    </row>
    <row r="766" spans="2:22" ht="15.75" customHeight="1"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8"/>
      <c r="M766" s="7"/>
      <c r="N766" s="8"/>
      <c r="O766" s="8"/>
      <c r="P766" s="8"/>
      <c r="Q766" s="8"/>
      <c r="R766" s="8"/>
      <c r="S766" s="8" t="s">
        <v>63</v>
      </c>
      <c r="T766" s="7"/>
      <c r="U766" s="7"/>
      <c r="V766" s="7"/>
    </row>
    <row r="767" spans="2:22" ht="15.75" customHeight="1"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8"/>
      <c r="M767" s="7"/>
      <c r="N767" s="8"/>
      <c r="O767" s="8"/>
      <c r="P767" s="8"/>
      <c r="Q767" s="8"/>
      <c r="R767" s="8"/>
      <c r="S767" s="8" t="s">
        <v>63</v>
      </c>
      <c r="T767" s="7"/>
      <c r="U767" s="7"/>
      <c r="V767" s="7"/>
    </row>
    <row r="768" spans="2:22" ht="15.75" customHeight="1"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8"/>
      <c r="M768" s="7"/>
      <c r="N768" s="8"/>
      <c r="O768" s="8"/>
      <c r="P768" s="8"/>
      <c r="Q768" s="8"/>
      <c r="R768" s="8"/>
      <c r="S768" s="8" t="s">
        <v>63</v>
      </c>
      <c r="T768" s="7"/>
      <c r="U768" s="7"/>
      <c r="V768" s="7"/>
    </row>
    <row r="769" spans="2:22" ht="15.75" customHeight="1"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8"/>
      <c r="M769" s="7"/>
      <c r="N769" s="8"/>
      <c r="O769" s="8"/>
      <c r="P769" s="8"/>
      <c r="Q769" s="8"/>
      <c r="R769" s="8"/>
      <c r="S769" s="8" t="s">
        <v>63</v>
      </c>
      <c r="T769" s="7"/>
      <c r="U769" s="7"/>
      <c r="V769" s="7"/>
    </row>
    <row r="770" spans="2:22" ht="15.75" customHeight="1"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8"/>
      <c r="M770" s="7"/>
      <c r="N770" s="8"/>
      <c r="O770" s="8"/>
      <c r="P770" s="8"/>
      <c r="Q770" s="8"/>
      <c r="R770" s="8"/>
      <c r="S770" s="8" t="s">
        <v>63</v>
      </c>
      <c r="T770" s="7"/>
      <c r="U770" s="7"/>
      <c r="V770" s="7"/>
    </row>
    <row r="771" spans="2:22" ht="15.75" customHeight="1"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8"/>
      <c r="M771" s="7"/>
      <c r="N771" s="8"/>
      <c r="O771" s="8"/>
      <c r="P771" s="8"/>
      <c r="Q771" s="8"/>
      <c r="R771" s="8"/>
      <c r="S771" s="8" t="s">
        <v>63</v>
      </c>
      <c r="T771" s="7"/>
      <c r="U771" s="7"/>
      <c r="V771" s="7"/>
    </row>
    <row r="772" spans="2:22" ht="15.75" customHeight="1"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8"/>
      <c r="M772" s="7"/>
      <c r="N772" s="8"/>
      <c r="O772" s="8"/>
      <c r="P772" s="8"/>
      <c r="Q772" s="8"/>
      <c r="R772" s="8"/>
      <c r="S772" s="8" t="s">
        <v>63</v>
      </c>
      <c r="T772" s="7"/>
      <c r="U772" s="7"/>
      <c r="V772" s="7"/>
    </row>
    <row r="773" spans="2:22" ht="15.75" customHeight="1"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8"/>
      <c r="M773" s="7"/>
      <c r="N773" s="8"/>
      <c r="O773" s="8"/>
      <c r="P773" s="8"/>
      <c r="Q773" s="8"/>
      <c r="R773" s="8"/>
      <c r="S773" s="8" t="s">
        <v>63</v>
      </c>
      <c r="T773" s="7"/>
      <c r="U773" s="7"/>
      <c r="V773" s="7"/>
    </row>
    <row r="774" spans="2:22" ht="15.75" customHeight="1"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8"/>
      <c r="M774" s="7"/>
      <c r="N774" s="8"/>
      <c r="O774" s="8"/>
      <c r="P774" s="8"/>
      <c r="Q774" s="8"/>
      <c r="R774" s="8"/>
      <c r="S774" s="8" t="s">
        <v>63</v>
      </c>
      <c r="T774" s="7"/>
      <c r="U774" s="7"/>
      <c r="V774" s="7"/>
    </row>
    <row r="775" spans="2:22" ht="15.75" customHeight="1"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8"/>
      <c r="M775" s="7"/>
      <c r="N775" s="8"/>
      <c r="O775" s="8"/>
      <c r="P775" s="8"/>
      <c r="Q775" s="8"/>
      <c r="R775" s="8"/>
      <c r="S775" s="8" t="s">
        <v>63</v>
      </c>
      <c r="T775" s="7"/>
      <c r="U775" s="7"/>
      <c r="V775" s="7"/>
    </row>
    <row r="776" spans="2:22" ht="15.75" customHeight="1"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8"/>
      <c r="M776" s="7"/>
      <c r="N776" s="8"/>
      <c r="O776" s="8"/>
      <c r="P776" s="8"/>
      <c r="Q776" s="8"/>
      <c r="R776" s="8"/>
      <c r="S776" s="8" t="s">
        <v>63</v>
      </c>
      <c r="T776" s="7"/>
      <c r="U776" s="7"/>
      <c r="V776" s="7"/>
    </row>
    <row r="777" spans="2:22" ht="15.75" customHeight="1"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8"/>
      <c r="M777" s="7"/>
      <c r="N777" s="8"/>
      <c r="O777" s="8"/>
      <c r="P777" s="8"/>
      <c r="Q777" s="8"/>
      <c r="R777" s="8"/>
      <c r="S777" s="8" t="s">
        <v>63</v>
      </c>
      <c r="T777" s="7"/>
      <c r="U777" s="7"/>
      <c r="V777" s="7"/>
    </row>
    <row r="778" spans="2:22" ht="15.75" customHeight="1"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8"/>
      <c r="M778" s="7"/>
      <c r="N778" s="8"/>
      <c r="O778" s="8"/>
      <c r="P778" s="8"/>
      <c r="Q778" s="8"/>
      <c r="R778" s="8"/>
      <c r="S778" s="8" t="s">
        <v>63</v>
      </c>
      <c r="T778" s="7"/>
      <c r="U778" s="7"/>
      <c r="V778" s="7"/>
    </row>
    <row r="779" spans="2:22" ht="15.75" customHeight="1"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8"/>
      <c r="M779" s="7"/>
      <c r="N779" s="8"/>
      <c r="O779" s="8"/>
      <c r="P779" s="8"/>
      <c r="Q779" s="8"/>
      <c r="R779" s="8"/>
      <c r="S779" s="8" t="s">
        <v>63</v>
      </c>
      <c r="T779" s="7"/>
      <c r="U779" s="7"/>
      <c r="V779" s="7"/>
    </row>
    <row r="780" spans="2:22" ht="15.75" customHeight="1"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8"/>
      <c r="M780" s="7"/>
      <c r="N780" s="8"/>
      <c r="O780" s="8"/>
      <c r="P780" s="8"/>
      <c r="Q780" s="8"/>
      <c r="R780" s="8"/>
      <c r="S780" s="8" t="s">
        <v>63</v>
      </c>
      <c r="T780" s="7"/>
      <c r="U780" s="7"/>
      <c r="V780" s="7"/>
    </row>
    <row r="781" spans="2:22" ht="15.75" customHeight="1"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8"/>
      <c r="M781" s="7"/>
      <c r="N781" s="8"/>
      <c r="O781" s="8"/>
      <c r="P781" s="8"/>
      <c r="Q781" s="8"/>
      <c r="R781" s="8"/>
      <c r="S781" s="8" t="s">
        <v>63</v>
      </c>
      <c r="T781" s="7"/>
      <c r="U781" s="7"/>
      <c r="V781" s="7"/>
    </row>
    <row r="782" spans="2:22" ht="15.75" customHeight="1"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8"/>
      <c r="M782" s="7"/>
      <c r="N782" s="8"/>
      <c r="O782" s="8"/>
      <c r="P782" s="8"/>
      <c r="Q782" s="8"/>
      <c r="R782" s="8"/>
      <c r="S782" s="8" t="s">
        <v>63</v>
      </c>
      <c r="T782" s="7"/>
      <c r="U782" s="7"/>
      <c r="V782" s="7"/>
    </row>
    <row r="783" spans="2:22" ht="15.75" customHeight="1"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8"/>
      <c r="M783" s="7"/>
      <c r="N783" s="8"/>
      <c r="O783" s="8"/>
      <c r="P783" s="8"/>
      <c r="Q783" s="8"/>
      <c r="R783" s="8"/>
      <c r="S783" s="8" t="s">
        <v>63</v>
      </c>
      <c r="T783" s="7"/>
      <c r="U783" s="7"/>
      <c r="V783" s="7"/>
    </row>
    <row r="784" spans="2:22" ht="15.75" customHeight="1"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8"/>
      <c r="M784" s="7"/>
      <c r="N784" s="8"/>
      <c r="O784" s="8"/>
      <c r="P784" s="8"/>
      <c r="Q784" s="8"/>
      <c r="R784" s="8"/>
      <c r="S784" s="8" t="s">
        <v>63</v>
      </c>
      <c r="T784" s="7"/>
      <c r="U784" s="7"/>
      <c r="V784" s="7"/>
    </row>
    <row r="785" spans="2:22" ht="15.75" customHeight="1"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8"/>
      <c r="M785" s="7"/>
      <c r="N785" s="8"/>
      <c r="O785" s="8"/>
      <c r="P785" s="8"/>
      <c r="Q785" s="8"/>
      <c r="R785" s="8"/>
      <c r="S785" s="8" t="s">
        <v>63</v>
      </c>
      <c r="T785" s="7"/>
      <c r="U785" s="7"/>
      <c r="V785" s="7"/>
    </row>
    <row r="786" spans="2:22" ht="15.75" customHeight="1"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8"/>
      <c r="M786" s="7"/>
      <c r="N786" s="8"/>
      <c r="O786" s="8"/>
      <c r="P786" s="8"/>
      <c r="Q786" s="8"/>
      <c r="R786" s="8"/>
      <c r="S786" s="8" t="s">
        <v>63</v>
      </c>
      <c r="T786" s="7"/>
      <c r="U786" s="7"/>
      <c r="V786" s="7"/>
    </row>
    <row r="787" spans="2:22" ht="15.75" customHeight="1"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8"/>
      <c r="M787" s="7"/>
      <c r="N787" s="8"/>
      <c r="O787" s="8"/>
      <c r="P787" s="8"/>
      <c r="Q787" s="8"/>
      <c r="R787" s="8"/>
      <c r="S787" s="8" t="s">
        <v>63</v>
      </c>
      <c r="T787" s="7"/>
      <c r="U787" s="7"/>
      <c r="V787" s="7"/>
    </row>
    <row r="788" spans="2:22" ht="15.75" customHeight="1"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8"/>
      <c r="M788" s="7"/>
      <c r="N788" s="8"/>
      <c r="O788" s="8"/>
      <c r="P788" s="8"/>
      <c r="Q788" s="8"/>
      <c r="R788" s="8"/>
      <c r="S788" s="8" t="s">
        <v>63</v>
      </c>
      <c r="T788" s="7"/>
      <c r="U788" s="7"/>
      <c r="V788" s="7"/>
    </row>
    <row r="789" spans="2:22" ht="15.75" customHeight="1"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8"/>
      <c r="M789" s="7"/>
      <c r="N789" s="8"/>
      <c r="O789" s="8"/>
      <c r="P789" s="8"/>
      <c r="Q789" s="8"/>
      <c r="R789" s="8"/>
      <c r="S789" s="8" t="s">
        <v>63</v>
      </c>
      <c r="T789" s="7"/>
      <c r="U789" s="7"/>
      <c r="V789" s="7"/>
    </row>
    <row r="790" spans="2:22" ht="15.75" customHeight="1"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8"/>
      <c r="M790" s="7"/>
      <c r="N790" s="8"/>
      <c r="O790" s="8"/>
      <c r="P790" s="8"/>
      <c r="Q790" s="8"/>
      <c r="R790" s="8"/>
      <c r="S790" s="8" t="s">
        <v>63</v>
      </c>
      <c r="T790" s="7"/>
      <c r="U790" s="7"/>
      <c r="V790" s="7"/>
    </row>
    <row r="791" spans="2:22" ht="15.75" customHeight="1"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8"/>
      <c r="M791" s="7"/>
      <c r="N791" s="8"/>
      <c r="O791" s="8"/>
      <c r="P791" s="8"/>
      <c r="Q791" s="8"/>
      <c r="R791" s="8"/>
      <c r="S791" s="8" t="s">
        <v>63</v>
      </c>
      <c r="T791" s="7"/>
      <c r="U791" s="7"/>
      <c r="V791" s="7"/>
    </row>
    <row r="792" spans="2:22" ht="15.75" customHeight="1"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8"/>
      <c r="M792" s="7"/>
      <c r="N792" s="8"/>
      <c r="O792" s="8"/>
      <c r="P792" s="8"/>
      <c r="Q792" s="8"/>
      <c r="R792" s="8"/>
      <c r="S792" s="8" t="s">
        <v>63</v>
      </c>
      <c r="T792" s="7"/>
      <c r="U792" s="7"/>
      <c r="V792" s="7"/>
    </row>
    <row r="793" spans="2:22" ht="15.75" customHeight="1"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8"/>
      <c r="M793" s="7"/>
      <c r="N793" s="8"/>
      <c r="O793" s="8"/>
      <c r="P793" s="8"/>
      <c r="Q793" s="8"/>
      <c r="R793" s="8"/>
      <c r="S793" s="8" t="s">
        <v>63</v>
      </c>
      <c r="T793" s="7"/>
      <c r="U793" s="7"/>
      <c r="V793" s="7"/>
    </row>
    <row r="794" spans="2:22" ht="15.75" customHeight="1"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8"/>
      <c r="M794" s="7"/>
      <c r="N794" s="8"/>
      <c r="O794" s="8"/>
      <c r="P794" s="8"/>
      <c r="Q794" s="8"/>
      <c r="R794" s="8"/>
      <c r="S794" s="8" t="s">
        <v>63</v>
      </c>
      <c r="T794" s="7"/>
      <c r="U794" s="7"/>
      <c r="V794" s="7"/>
    </row>
    <row r="795" spans="2:22" ht="15.75" customHeight="1"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8"/>
      <c r="M795" s="7"/>
      <c r="N795" s="8"/>
      <c r="O795" s="8"/>
      <c r="P795" s="8"/>
      <c r="Q795" s="8"/>
      <c r="R795" s="8"/>
      <c r="S795" s="8" t="s">
        <v>63</v>
      </c>
      <c r="T795" s="7"/>
      <c r="U795" s="7"/>
      <c r="V795" s="7"/>
    </row>
    <row r="796" spans="2:22" ht="15.75" customHeight="1"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8"/>
      <c r="M796" s="7"/>
      <c r="N796" s="8"/>
      <c r="O796" s="8"/>
      <c r="P796" s="8"/>
      <c r="Q796" s="8"/>
      <c r="R796" s="8"/>
      <c r="S796" s="8" t="s">
        <v>63</v>
      </c>
      <c r="T796" s="7"/>
      <c r="U796" s="7"/>
      <c r="V796" s="7"/>
    </row>
    <row r="797" spans="2:22" ht="15.75" customHeight="1"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8"/>
      <c r="M797" s="7"/>
      <c r="N797" s="8"/>
      <c r="O797" s="8"/>
      <c r="P797" s="8"/>
      <c r="Q797" s="8"/>
      <c r="R797" s="8"/>
      <c r="S797" s="8" t="s">
        <v>63</v>
      </c>
      <c r="T797" s="7"/>
      <c r="U797" s="7"/>
      <c r="V797" s="7"/>
    </row>
    <row r="798" spans="2:22" ht="15.75" customHeight="1"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8"/>
      <c r="M798" s="7"/>
      <c r="N798" s="8"/>
      <c r="O798" s="8"/>
      <c r="P798" s="8"/>
      <c r="Q798" s="8"/>
      <c r="R798" s="8"/>
      <c r="S798" s="8" t="s">
        <v>63</v>
      </c>
      <c r="T798" s="7"/>
      <c r="U798" s="7"/>
      <c r="V798" s="7"/>
    </row>
    <row r="799" spans="2:22" ht="15.75" customHeight="1"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8"/>
      <c r="M799" s="7"/>
      <c r="N799" s="8"/>
      <c r="O799" s="8"/>
      <c r="P799" s="8"/>
      <c r="Q799" s="8"/>
      <c r="R799" s="8"/>
      <c r="S799" s="8" t="s">
        <v>63</v>
      </c>
      <c r="T799" s="7"/>
      <c r="U799" s="7"/>
      <c r="V799" s="7"/>
    </row>
    <row r="800" spans="2:22" ht="15.75" customHeight="1"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8"/>
      <c r="M800" s="7"/>
      <c r="N800" s="8"/>
      <c r="O800" s="8"/>
      <c r="P800" s="8"/>
      <c r="Q800" s="8"/>
      <c r="R800" s="8"/>
      <c r="S800" s="8" t="s">
        <v>63</v>
      </c>
      <c r="T800" s="7"/>
      <c r="U800" s="7"/>
      <c r="V800" s="7"/>
    </row>
    <row r="801" spans="2:22" ht="15.75" customHeight="1"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8"/>
      <c r="M801" s="7"/>
      <c r="N801" s="8"/>
      <c r="O801" s="8"/>
      <c r="P801" s="8"/>
      <c r="Q801" s="8"/>
      <c r="R801" s="8"/>
      <c r="S801" s="8" t="s">
        <v>63</v>
      </c>
      <c r="T801" s="7"/>
      <c r="U801" s="7"/>
      <c r="V801" s="7"/>
    </row>
    <row r="802" spans="2:22" ht="15.75" customHeight="1"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8"/>
      <c r="M802" s="7"/>
      <c r="N802" s="8"/>
      <c r="O802" s="8"/>
      <c r="P802" s="8"/>
      <c r="Q802" s="8"/>
      <c r="R802" s="8"/>
      <c r="S802" s="8" t="s">
        <v>63</v>
      </c>
      <c r="T802" s="7"/>
      <c r="U802" s="7"/>
      <c r="V802" s="7"/>
    </row>
    <row r="803" spans="2:22" ht="15.75" customHeight="1"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8"/>
      <c r="M803" s="7"/>
      <c r="N803" s="8"/>
      <c r="O803" s="8"/>
      <c r="P803" s="8"/>
      <c r="Q803" s="8"/>
      <c r="R803" s="8"/>
      <c r="S803" s="8" t="s">
        <v>63</v>
      </c>
      <c r="T803" s="7"/>
      <c r="U803" s="7"/>
      <c r="V803" s="7"/>
    </row>
    <row r="804" spans="2:22" ht="15.75" customHeight="1"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8"/>
      <c r="M804" s="7"/>
      <c r="N804" s="8"/>
      <c r="O804" s="8"/>
      <c r="P804" s="8"/>
      <c r="Q804" s="8"/>
      <c r="R804" s="8"/>
      <c r="S804" s="8" t="s">
        <v>63</v>
      </c>
      <c r="T804" s="7"/>
      <c r="U804" s="7"/>
      <c r="V804" s="7"/>
    </row>
    <row r="805" spans="2:22" ht="15.75" customHeight="1"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8"/>
      <c r="M805" s="7"/>
      <c r="N805" s="8"/>
      <c r="O805" s="8"/>
      <c r="P805" s="8"/>
      <c r="Q805" s="8"/>
      <c r="R805" s="8"/>
      <c r="S805" s="8" t="s">
        <v>63</v>
      </c>
      <c r="T805" s="7"/>
      <c r="U805" s="7"/>
      <c r="V805" s="7"/>
    </row>
    <row r="806" spans="2:22" ht="15.75" customHeight="1"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8"/>
      <c r="M806" s="7"/>
      <c r="N806" s="8"/>
      <c r="O806" s="8"/>
      <c r="P806" s="8"/>
      <c r="Q806" s="8"/>
      <c r="R806" s="8"/>
      <c r="S806" s="8" t="s">
        <v>63</v>
      </c>
      <c r="T806" s="7"/>
      <c r="U806" s="7"/>
      <c r="V806" s="7"/>
    </row>
    <row r="807" spans="2:22" ht="15.75" customHeight="1"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8"/>
      <c r="M807" s="7"/>
      <c r="N807" s="8"/>
      <c r="O807" s="8"/>
      <c r="P807" s="8"/>
      <c r="Q807" s="8"/>
      <c r="R807" s="8"/>
      <c r="S807" s="8" t="s">
        <v>63</v>
      </c>
      <c r="T807" s="7"/>
      <c r="U807" s="7"/>
      <c r="V807" s="7"/>
    </row>
    <row r="808" spans="2:22" ht="15.75" customHeight="1"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8"/>
      <c r="M808" s="7"/>
      <c r="N808" s="8"/>
      <c r="O808" s="8"/>
      <c r="P808" s="8"/>
      <c r="Q808" s="8"/>
      <c r="R808" s="8"/>
      <c r="S808" s="8" t="s">
        <v>63</v>
      </c>
      <c r="T808" s="7"/>
      <c r="U808" s="7"/>
      <c r="V808" s="7"/>
    </row>
    <row r="809" spans="2:22" ht="15.75" customHeight="1"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8"/>
      <c r="M809" s="7"/>
      <c r="N809" s="8"/>
      <c r="O809" s="8"/>
      <c r="P809" s="8"/>
      <c r="Q809" s="8"/>
      <c r="R809" s="8"/>
      <c r="S809" s="8" t="s">
        <v>63</v>
      </c>
      <c r="T809" s="7"/>
      <c r="U809" s="7"/>
      <c r="V809" s="7"/>
    </row>
    <row r="810" spans="2:22" ht="15.75" customHeight="1"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8"/>
      <c r="M810" s="7"/>
      <c r="N810" s="8"/>
      <c r="O810" s="8"/>
      <c r="P810" s="8"/>
      <c r="Q810" s="8"/>
      <c r="R810" s="8"/>
      <c r="S810" s="8" t="s">
        <v>63</v>
      </c>
      <c r="T810" s="7"/>
      <c r="U810" s="7"/>
      <c r="V810" s="7"/>
    </row>
    <row r="811" spans="2:22" ht="15.75" customHeight="1"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8"/>
      <c r="M811" s="7"/>
      <c r="N811" s="8"/>
      <c r="O811" s="8"/>
      <c r="P811" s="8"/>
      <c r="Q811" s="8"/>
      <c r="R811" s="8"/>
      <c r="S811" s="8" t="s">
        <v>63</v>
      </c>
      <c r="T811" s="7"/>
      <c r="U811" s="7"/>
      <c r="V811" s="7"/>
    </row>
    <row r="812" spans="2:22" ht="15.75" customHeight="1"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8"/>
      <c r="M812" s="7"/>
      <c r="N812" s="8"/>
      <c r="O812" s="8"/>
      <c r="P812" s="8"/>
      <c r="Q812" s="8"/>
      <c r="R812" s="8"/>
      <c r="S812" s="8" t="s">
        <v>63</v>
      </c>
      <c r="T812" s="7"/>
      <c r="U812" s="7"/>
      <c r="V812" s="7"/>
    </row>
    <row r="813" spans="2:22" ht="15.75" customHeight="1"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8"/>
      <c r="M813" s="7"/>
      <c r="N813" s="8"/>
      <c r="O813" s="8"/>
      <c r="P813" s="8"/>
      <c r="Q813" s="8"/>
      <c r="R813" s="8"/>
      <c r="S813" s="8" t="s">
        <v>63</v>
      </c>
      <c r="T813" s="7"/>
      <c r="U813" s="7"/>
      <c r="V813" s="7"/>
    </row>
    <row r="814" spans="2:22" ht="15.75" customHeight="1"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8"/>
      <c r="M814" s="7"/>
      <c r="N814" s="8"/>
      <c r="O814" s="8"/>
      <c r="P814" s="8"/>
      <c r="Q814" s="8"/>
      <c r="R814" s="8"/>
      <c r="S814" s="8" t="s">
        <v>63</v>
      </c>
      <c r="T814" s="7"/>
      <c r="U814" s="7"/>
      <c r="V814" s="7"/>
    </row>
    <row r="815" spans="2:22" ht="15.75" customHeight="1"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8"/>
      <c r="M815" s="7"/>
      <c r="N815" s="8"/>
      <c r="O815" s="8"/>
      <c r="P815" s="8"/>
      <c r="Q815" s="8"/>
      <c r="R815" s="8"/>
      <c r="S815" s="8" t="s">
        <v>63</v>
      </c>
      <c r="T815" s="7"/>
      <c r="U815" s="7"/>
      <c r="V815" s="7"/>
    </row>
    <row r="816" spans="2:22" ht="15.75" customHeight="1"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8"/>
      <c r="M816" s="7"/>
      <c r="N816" s="8"/>
      <c r="O816" s="8"/>
      <c r="P816" s="8"/>
      <c r="Q816" s="8"/>
      <c r="R816" s="8"/>
      <c r="S816" s="8" t="s">
        <v>63</v>
      </c>
      <c r="T816" s="7"/>
      <c r="U816" s="7"/>
      <c r="V816" s="7"/>
    </row>
    <row r="817" spans="2:22" ht="15.75" customHeight="1"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8"/>
      <c r="M817" s="7"/>
      <c r="N817" s="8"/>
      <c r="O817" s="8"/>
      <c r="P817" s="8"/>
      <c r="Q817" s="8"/>
      <c r="R817" s="8"/>
      <c r="S817" s="8" t="s">
        <v>63</v>
      </c>
      <c r="T817" s="7"/>
      <c r="U817" s="7"/>
      <c r="V817" s="7"/>
    </row>
    <row r="818" spans="2:22" ht="15.75" customHeight="1"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8"/>
      <c r="M818" s="7"/>
      <c r="N818" s="8"/>
      <c r="O818" s="8"/>
      <c r="P818" s="8"/>
      <c r="Q818" s="8"/>
      <c r="R818" s="8"/>
      <c r="S818" s="8" t="s">
        <v>63</v>
      </c>
      <c r="T818" s="7"/>
      <c r="U818" s="7"/>
      <c r="V818" s="7"/>
    </row>
    <row r="819" spans="2:22" ht="15.75" customHeight="1"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8"/>
      <c r="M819" s="7"/>
      <c r="N819" s="8"/>
      <c r="O819" s="8"/>
      <c r="P819" s="8"/>
      <c r="Q819" s="8"/>
      <c r="R819" s="8"/>
      <c r="S819" s="8" t="s">
        <v>63</v>
      </c>
      <c r="T819" s="7"/>
      <c r="U819" s="7"/>
      <c r="V819" s="7"/>
    </row>
    <row r="820" spans="2:22" ht="15.75" customHeight="1"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8"/>
      <c r="M820" s="7"/>
      <c r="N820" s="8"/>
      <c r="O820" s="8"/>
      <c r="P820" s="8"/>
      <c r="Q820" s="8"/>
      <c r="R820" s="8"/>
      <c r="S820" s="8" t="s">
        <v>63</v>
      </c>
      <c r="T820" s="7"/>
      <c r="U820" s="7"/>
      <c r="V820" s="7"/>
    </row>
    <row r="821" spans="2:22" ht="15.75" customHeight="1"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8"/>
      <c r="M821" s="7"/>
      <c r="N821" s="8"/>
      <c r="O821" s="8"/>
      <c r="P821" s="8"/>
      <c r="Q821" s="8"/>
      <c r="R821" s="8"/>
      <c r="S821" s="8" t="s">
        <v>63</v>
      </c>
      <c r="T821" s="7"/>
      <c r="U821" s="7"/>
      <c r="V821" s="7"/>
    </row>
    <row r="822" spans="2:22" ht="15.75" customHeight="1"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8"/>
      <c r="M822" s="7"/>
      <c r="N822" s="8"/>
      <c r="O822" s="8"/>
      <c r="P822" s="8"/>
      <c r="Q822" s="8"/>
      <c r="R822" s="8"/>
      <c r="S822" s="8" t="s">
        <v>63</v>
      </c>
      <c r="T822" s="7"/>
      <c r="U822" s="7"/>
      <c r="V822" s="7"/>
    </row>
    <row r="823" spans="2:22" ht="15.75" customHeight="1"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8"/>
      <c r="M823" s="7"/>
      <c r="N823" s="8"/>
      <c r="O823" s="8"/>
      <c r="P823" s="8"/>
      <c r="Q823" s="8"/>
      <c r="R823" s="8"/>
      <c r="S823" s="8" t="s">
        <v>63</v>
      </c>
      <c r="T823" s="7"/>
      <c r="U823" s="7"/>
      <c r="V823" s="7"/>
    </row>
    <row r="824" spans="2:22" ht="15.75" customHeight="1"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8"/>
      <c r="M824" s="7"/>
      <c r="N824" s="8"/>
      <c r="O824" s="8"/>
      <c r="P824" s="8"/>
      <c r="Q824" s="8"/>
      <c r="R824" s="8"/>
      <c r="S824" s="8" t="s">
        <v>63</v>
      </c>
      <c r="T824" s="7"/>
      <c r="U824" s="7"/>
      <c r="V824" s="7"/>
    </row>
    <row r="825" spans="2:22" ht="15.75" customHeight="1"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8"/>
      <c r="M825" s="7"/>
      <c r="N825" s="8"/>
      <c r="O825" s="8"/>
      <c r="P825" s="8"/>
      <c r="Q825" s="8"/>
      <c r="R825" s="8"/>
      <c r="S825" s="8" t="s">
        <v>63</v>
      </c>
      <c r="T825" s="7"/>
      <c r="U825" s="7"/>
      <c r="V825" s="7"/>
    </row>
    <row r="826" spans="2:22" ht="15.75" customHeight="1"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8"/>
      <c r="M826" s="7"/>
      <c r="N826" s="8"/>
      <c r="O826" s="8"/>
      <c r="P826" s="8"/>
      <c r="Q826" s="8"/>
      <c r="R826" s="8"/>
      <c r="S826" s="8" t="s">
        <v>63</v>
      </c>
      <c r="T826" s="7"/>
      <c r="U826" s="7"/>
      <c r="V826" s="7"/>
    </row>
    <row r="827" spans="2:22" ht="15.75" customHeight="1"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8"/>
      <c r="M827" s="7"/>
      <c r="N827" s="8"/>
      <c r="O827" s="8"/>
      <c r="P827" s="8"/>
      <c r="Q827" s="8"/>
      <c r="R827" s="8"/>
      <c r="S827" s="8" t="s">
        <v>63</v>
      </c>
      <c r="T827" s="7"/>
      <c r="U827" s="7"/>
      <c r="V827" s="7"/>
    </row>
    <row r="828" spans="2:22" ht="15.75" customHeight="1"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8"/>
      <c r="M828" s="7"/>
      <c r="N828" s="8"/>
      <c r="O828" s="8"/>
      <c r="P828" s="8"/>
      <c r="Q828" s="8"/>
      <c r="R828" s="8"/>
      <c r="S828" s="8" t="s">
        <v>63</v>
      </c>
      <c r="T828" s="7"/>
      <c r="U828" s="7"/>
      <c r="V828" s="7"/>
    </row>
    <row r="829" spans="2:22" ht="15.75" customHeight="1"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8"/>
      <c r="M829" s="7"/>
      <c r="N829" s="8"/>
      <c r="O829" s="8"/>
      <c r="P829" s="8"/>
      <c r="Q829" s="8"/>
      <c r="R829" s="8"/>
      <c r="S829" s="8" t="s">
        <v>63</v>
      </c>
      <c r="T829" s="7"/>
      <c r="U829" s="7"/>
      <c r="V829" s="7"/>
    </row>
    <row r="830" spans="2:22" ht="15.75" customHeight="1"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8"/>
      <c r="M830" s="7"/>
      <c r="N830" s="8"/>
      <c r="O830" s="8"/>
      <c r="P830" s="8"/>
      <c r="Q830" s="8"/>
      <c r="R830" s="8"/>
      <c r="S830" s="8" t="s">
        <v>63</v>
      </c>
      <c r="T830" s="7"/>
      <c r="U830" s="7"/>
      <c r="V830" s="7"/>
    </row>
    <row r="831" spans="2:22" ht="15.75" customHeight="1"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8"/>
      <c r="M831" s="7"/>
      <c r="N831" s="8"/>
      <c r="O831" s="8"/>
      <c r="P831" s="8"/>
      <c r="Q831" s="8"/>
      <c r="R831" s="8"/>
      <c r="S831" s="8" t="s">
        <v>63</v>
      </c>
      <c r="T831" s="7"/>
      <c r="U831" s="7"/>
      <c r="V831" s="7"/>
    </row>
    <row r="832" spans="2:22" ht="15.75" customHeight="1"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8"/>
      <c r="M832" s="7"/>
      <c r="N832" s="8"/>
      <c r="O832" s="8"/>
      <c r="P832" s="8"/>
      <c r="Q832" s="8"/>
      <c r="R832" s="8"/>
      <c r="S832" s="8" t="s">
        <v>63</v>
      </c>
      <c r="T832" s="7"/>
      <c r="U832" s="7"/>
      <c r="V832" s="7"/>
    </row>
    <row r="833" spans="2:22" ht="15.75" customHeight="1"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8"/>
      <c r="M833" s="7"/>
      <c r="N833" s="8"/>
      <c r="O833" s="8"/>
      <c r="P833" s="8"/>
      <c r="Q833" s="8"/>
      <c r="R833" s="8"/>
      <c r="S833" s="8" t="s">
        <v>63</v>
      </c>
      <c r="T833" s="7"/>
      <c r="U833" s="7"/>
      <c r="V833" s="7"/>
    </row>
    <row r="834" spans="2:22" ht="15.75" customHeight="1"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8"/>
      <c r="M834" s="7"/>
      <c r="N834" s="8"/>
      <c r="O834" s="8"/>
      <c r="P834" s="8"/>
      <c r="Q834" s="8"/>
      <c r="R834" s="8"/>
      <c r="S834" s="8" t="s">
        <v>63</v>
      </c>
      <c r="T834" s="7"/>
      <c r="U834" s="7"/>
      <c r="V834" s="7"/>
    </row>
    <row r="835" spans="2:22" ht="15.75" customHeight="1"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8"/>
      <c r="M835" s="7"/>
      <c r="N835" s="8"/>
      <c r="O835" s="8"/>
      <c r="P835" s="8"/>
      <c r="Q835" s="8"/>
      <c r="R835" s="8"/>
      <c r="S835" s="8" t="s">
        <v>63</v>
      </c>
      <c r="T835" s="7"/>
      <c r="U835" s="7"/>
      <c r="V835" s="7"/>
    </row>
    <row r="836" spans="2:22" ht="15.75" customHeight="1"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8"/>
      <c r="M836" s="7"/>
      <c r="N836" s="8"/>
      <c r="O836" s="8"/>
      <c r="P836" s="8"/>
      <c r="Q836" s="8"/>
      <c r="R836" s="8"/>
      <c r="S836" s="8" t="s">
        <v>63</v>
      </c>
      <c r="T836" s="7"/>
      <c r="U836" s="7"/>
      <c r="V836" s="7"/>
    </row>
    <row r="837" spans="2:22" ht="15.75" customHeight="1"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8"/>
      <c r="M837" s="7"/>
      <c r="N837" s="8"/>
      <c r="O837" s="8"/>
      <c r="P837" s="8"/>
      <c r="Q837" s="8"/>
      <c r="R837" s="8"/>
      <c r="S837" s="8" t="s">
        <v>63</v>
      </c>
      <c r="T837" s="7"/>
      <c r="U837" s="7"/>
      <c r="V837" s="7"/>
    </row>
    <row r="838" spans="2:22" ht="15.75" customHeight="1"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8"/>
      <c r="M838" s="7"/>
      <c r="N838" s="8"/>
      <c r="O838" s="8"/>
      <c r="P838" s="8"/>
      <c r="Q838" s="8"/>
      <c r="R838" s="8"/>
      <c r="S838" s="8" t="s">
        <v>63</v>
      </c>
      <c r="T838" s="7"/>
      <c r="U838" s="7"/>
      <c r="V838" s="7"/>
    </row>
    <row r="839" spans="2:22" ht="15.75" customHeight="1"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8"/>
      <c r="M839" s="7"/>
      <c r="N839" s="8"/>
      <c r="O839" s="8"/>
      <c r="P839" s="8"/>
      <c r="Q839" s="8"/>
      <c r="R839" s="8"/>
      <c r="S839" s="8" t="s">
        <v>63</v>
      </c>
      <c r="T839" s="7"/>
      <c r="U839" s="7"/>
      <c r="V839" s="7"/>
    </row>
    <row r="840" spans="2:22" ht="15.75" customHeight="1"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8"/>
      <c r="M840" s="7"/>
      <c r="N840" s="8"/>
      <c r="O840" s="8"/>
      <c r="P840" s="8"/>
      <c r="Q840" s="8"/>
      <c r="R840" s="8"/>
      <c r="S840" s="8" t="s">
        <v>63</v>
      </c>
      <c r="T840" s="7"/>
      <c r="U840" s="7"/>
      <c r="V840" s="7"/>
    </row>
    <row r="841" spans="2:22" ht="15.75" customHeight="1"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8"/>
      <c r="M841" s="7"/>
      <c r="N841" s="8"/>
      <c r="O841" s="8"/>
      <c r="P841" s="8"/>
      <c r="Q841" s="8"/>
      <c r="R841" s="8"/>
      <c r="S841" s="8" t="s">
        <v>63</v>
      </c>
      <c r="T841" s="7"/>
      <c r="U841" s="7"/>
      <c r="V841" s="7"/>
    </row>
    <row r="842" spans="2:22" ht="15.75" customHeight="1"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8"/>
      <c r="M842" s="7"/>
      <c r="N842" s="8"/>
      <c r="O842" s="8"/>
      <c r="P842" s="8"/>
      <c r="Q842" s="8"/>
      <c r="R842" s="8"/>
      <c r="S842" s="8" t="s">
        <v>63</v>
      </c>
      <c r="T842" s="7"/>
      <c r="U842" s="7"/>
      <c r="V842" s="7"/>
    </row>
    <row r="843" spans="2:22" ht="15.75" customHeight="1"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8"/>
      <c r="M843" s="7"/>
      <c r="N843" s="8"/>
      <c r="O843" s="8"/>
      <c r="P843" s="8"/>
      <c r="Q843" s="8"/>
      <c r="R843" s="8"/>
      <c r="S843" s="8" t="s">
        <v>63</v>
      </c>
      <c r="T843" s="7"/>
      <c r="U843" s="7"/>
      <c r="V843" s="7"/>
    </row>
    <row r="844" spans="2:22" ht="15.75" customHeight="1"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8"/>
      <c r="M844" s="7"/>
      <c r="N844" s="8"/>
      <c r="O844" s="8"/>
      <c r="P844" s="8"/>
      <c r="Q844" s="8"/>
      <c r="R844" s="8"/>
      <c r="S844" s="8" t="s">
        <v>63</v>
      </c>
      <c r="T844" s="7"/>
      <c r="U844" s="7"/>
      <c r="V844" s="7"/>
    </row>
    <row r="845" spans="2:22" ht="15.75" customHeight="1"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8"/>
      <c r="M845" s="7"/>
      <c r="N845" s="8"/>
      <c r="O845" s="8"/>
      <c r="P845" s="8"/>
      <c r="Q845" s="8"/>
      <c r="R845" s="8"/>
      <c r="S845" s="8" t="s">
        <v>63</v>
      </c>
      <c r="T845" s="7"/>
      <c r="U845" s="7"/>
      <c r="V845" s="7"/>
    </row>
    <row r="846" spans="2:22" ht="15.75" customHeight="1"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8"/>
      <c r="M846" s="7"/>
      <c r="N846" s="8"/>
      <c r="O846" s="8"/>
      <c r="P846" s="8"/>
      <c r="Q846" s="8"/>
      <c r="R846" s="8"/>
      <c r="S846" s="8" t="s">
        <v>63</v>
      </c>
      <c r="T846" s="7"/>
      <c r="U846" s="7"/>
      <c r="V846" s="7"/>
    </row>
    <row r="847" spans="2:22" ht="15.75" customHeight="1"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8"/>
      <c r="M847" s="7"/>
      <c r="N847" s="8"/>
      <c r="O847" s="8"/>
      <c r="P847" s="8"/>
      <c r="Q847" s="8"/>
      <c r="R847" s="8"/>
      <c r="S847" s="8" t="s">
        <v>63</v>
      </c>
      <c r="T847" s="7"/>
      <c r="U847" s="7"/>
      <c r="V847" s="7"/>
    </row>
    <row r="848" spans="2:22" ht="15.75" customHeight="1"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8"/>
      <c r="M848" s="7"/>
      <c r="N848" s="8"/>
      <c r="O848" s="8"/>
      <c r="P848" s="8"/>
      <c r="Q848" s="8"/>
      <c r="R848" s="8"/>
      <c r="S848" s="8" t="s">
        <v>63</v>
      </c>
      <c r="T848" s="7"/>
      <c r="U848" s="7"/>
      <c r="V848" s="7"/>
    </row>
    <row r="849" spans="2:22" ht="15.75" customHeight="1"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8"/>
      <c r="M849" s="7"/>
      <c r="N849" s="8"/>
      <c r="O849" s="8"/>
      <c r="P849" s="8"/>
      <c r="Q849" s="8"/>
      <c r="R849" s="8"/>
      <c r="S849" s="8" t="s">
        <v>63</v>
      </c>
      <c r="T849" s="7"/>
      <c r="U849" s="7"/>
      <c r="V849" s="7"/>
    </row>
    <row r="850" spans="2:22" ht="15.75" customHeight="1"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8"/>
      <c r="M850" s="7"/>
      <c r="N850" s="8"/>
      <c r="O850" s="8"/>
      <c r="P850" s="8"/>
      <c r="Q850" s="8"/>
      <c r="R850" s="8"/>
      <c r="S850" s="8" t="s">
        <v>63</v>
      </c>
      <c r="T850" s="7"/>
      <c r="U850" s="7"/>
      <c r="V850" s="7"/>
    </row>
    <row r="851" spans="2:22" ht="15.75" customHeight="1"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8"/>
      <c r="M851" s="7"/>
      <c r="N851" s="8"/>
      <c r="O851" s="8"/>
      <c r="P851" s="8"/>
      <c r="Q851" s="8"/>
      <c r="R851" s="8"/>
      <c r="S851" s="8" t="s">
        <v>63</v>
      </c>
      <c r="T851" s="7"/>
      <c r="U851" s="7"/>
      <c r="V851" s="7"/>
    </row>
    <row r="852" spans="2:22" ht="15.75" customHeight="1"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8"/>
      <c r="M852" s="7"/>
      <c r="N852" s="8"/>
      <c r="O852" s="8"/>
      <c r="P852" s="8"/>
      <c r="Q852" s="8"/>
      <c r="R852" s="8"/>
      <c r="S852" s="8" t="s">
        <v>63</v>
      </c>
      <c r="T852" s="7"/>
      <c r="U852" s="7"/>
      <c r="V852" s="7"/>
    </row>
    <row r="853" spans="2:22" ht="15.75" customHeight="1"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8"/>
      <c r="M853" s="7"/>
      <c r="N853" s="8"/>
      <c r="O853" s="8"/>
      <c r="P853" s="8"/>
      <c r="Q853" s="8"/>
      <c r="R853" s="8"/>
      <c r="S853" s="8" t="s">
        <v>63</v>
      </c>
      <c r="T853" s="7"/>
      <c r="U853" s="7"/>
      <c r="V853" s="7"/>
    </row>
    <row r="854" spans="2:22" ht="15.75" customHeight="1"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8"/>
      <c r="M854" s="7"/>
      <c r="N854" s="8"/>
      <c r="O854" s="8"/>
      <c r="P854" s="8"/>
      <c r="Q854" s="8"/>
      <c r="R854" s="8"/>
      <c r="S854" s="8" t="s">
        <v>63</v>
      </c>
      <c r="T854" s="7"/>
      <c r="U854" s="7"/>
      <c r="V854" s="7"/>
    </row>
    <row r="855" spans="2:22" ht="15.75" customHeight="1"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8"/>
      <c r="M855" s="7"/>
      <c r="N855" s="8"/>
      <c r="O855" s="8"/>
      <c r="P855" s="8"/>
      <c r="Q855" s="8"/>
      <c r="R855" s="8"/>
      <c r="S855" s="8" t="s">
        <v>63</v>
      </c>
      <c r="T855" s="7"/>
      <c r="U855" s="7"/>
      <c r="V855" s="7"/>
    </row>
    <row r="856" spans="2:22" ht="15.75" customHeight="1"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8"/>
      <c r="M856" s="7"/>
      <c r="N856" s="8"/>
      <c r="O856" s="8"/>
      <c r="P856" s="8"/>
      <c r="Q856" s="8"/>
      <c r="R856" s="8"/>
      <c r="S856" s="8" t="s">
        <v>63</v>
      </c>
      <c r="T856" s="7"/>
      <c r="U856" s="7"/>
      <c r="V856" s="7"/>
    </row>
    <row r="857" spans="2:22" ht="15.75" customHeight="1"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8"/>
      <c r="M857" s="7"/>
      <c r="N857" s="8"/>
      <c r="O857" s="8"/>
      <c r="P857" s="8"/>
      <c r="Q857" s="8"/>
      <c r="R857" s="8"/>
      <c r="S857" s="8" t="s">
        <v>63</v>
      </c>
      <c r="T857" s="7"/>
      <c r="U857" s="7"/>
      <c r="V857" s="7"/>
    </row>
    <row r="858" spans="2:22" ht="15.75" customHeight="1"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8"/>
      <c r="M858" s="7"/>
      <c r="N858" s="8"/>
      <c r="O858" s="8"/>
      <c r="P858" s="8"/>
      <c r="Q858" s="8"/>
      <c r="R858" s="8"/>
      <c r="S858" s="8" t="s">
        <v>63</v>
      </c>
      <c r="T858" s="7"/>
      <c r="U858" s="7"/>
      <c r="V858" s="7"/>
    </row>
    <row r="859" spans="2:22" ht="15.75" customHeight="1"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8"/>
      <c r="M859" s="7"/>
      <c r="N859" s="8"/>
      <c r="O859" s="8"/>
      <c r="P859" s="8"/>
      <c r="Q859" s="8"/>
      <c r="R859" s="8"/>
      <c r="S859" s="8" t="s">
        <v>63</v>
      </c>
      <c r="T859" s="7"/>
      <c r="U859" s="7"/>
      <c r="V859" s="7"/>
    </row>
    <row r="860" spans="2:22" ht="15.75" customHeight="1"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8"/>
      <c r="M860" s="7"/>
      <c r="N860" s="8"/>
      <c r="O860" s="8"/>
      <c r="P860" s="8"/>
      <c r="Q860" s="8"/>
      <c r="R860" s="8"/>
      <c r="S860" s="8" t="s">
        <v>63</v>
      </c>
      <c r="T860" s="7"/>
      <c r="U860" s="7"/>
      <c r="V860" s="7"/>
    </row>
    <row r="861" spans="2:22" ht="15.75" customHeight="1"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8"/>
      <c r="M861" s="7"/>
      <c r="N861" s="8"/>
      <c r="O861" s="8"/>
      <c r="P861" s="8"/>
      <c r="Q861" s="8"/>
      <c r="R861" s="8"/>
      <c r="S861" s="8" t="s">
        <v>63</v>
      </c>
      <c r="T861" s="7"/>
      <c r="U861" s="7"/>
      <c r="V861" s="7"/>
    </row>
    <row r="862" spans="2:22" ht="15.75" customHeight="1"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8"/>
      <c r="M862" s="7"/>
      <c r="N862" s="8"/>
      <c r="O862" s="8"/>
      <c r="P862" s="8"/>
      <c r="Q862" s="8"/>
      <c r="R862" s="8"/>
      <c r="S862" s="8" t="s">
        <v>63</v>
      </c>
      <c r="T862" s="7"/>
      <c r="U862" s="7"/>
      <c r="V862" s="7"/>
    </row>
    <row r="863" spans="2:22" ht="15.75" customHeight="1"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8"/>
      <c r="M863" s="7"/>
      <c r="N863" s="8"/>
      <c r="O863" s="8"/>
      <c r="P863" s="8"/>
      <c r="Q863" s="8"/>
      <c r="R863" s="8"/>
      <c r="S863" s="8" t="s">
        <v>63</v>
      </c>
      <c r="T863" s="7"/>
      <c r="U863" s="7"/>
      <c r="V863" s="7"/>
    </row>
    <row r="864" spans="2:22" ht="15.75" customHeight="1"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8"/>
      <c r="M864" s="7"/>
      <c r="N864" s="8"/>
      <c r="O864" s="8"/>
      <c r="P864" s="8"/>
      <c r="Q864" s="8"/>
      <c r="R864" s="8"/>
      <c r="S864" s="8" t="s">
        <v>63</v>
      </c>
      <c r="T864" s="7"/>
      <c r="U864" s="7"/>
      <c r="V864" s="7"/>
    </row>
    <row r="865" spans="2:22" ht="15.75" customHeight="1"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8"/>
      <c r="M865" s="7"/>
      <c r="N865" s="8"/>
      <c r="O865" s="8"/>
      <c r="P865" s="8"/>
      <c r="Q865" s="8"/>
      <c r="R865" s="8"/>
      <c r="S865" s="8" t="s">
        <v>63</v>
      </c>
      <c r="T865" s="7"/>
      <c r="U865" s="7"/>
      <c r="V865" s="7"/>
    </row>
    <row r="866" spans="2:22" ht="15.75" customHeight="1"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8"/>
      <c r="M866" s="7"/>
      <c r="N866" s="8"/>
      <c r="O866" s="8"/>
      <c r="P866" s="8"/>
      <c r="Q866" s="8"/>
      <c r="R866" s="8"/>
      <c r="S866" s="8" t="s">
        <v>63</v>
      </c>
      <c r="T866" s="7"/>
      <c r="U866" s="7"/>
      <c r="V866" s="7"/>
    </row>
    <row r="867" spans="2:22" ht="15.75" customHeight="1"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8"/>
      <c r="M867" s="7"/>
      <c r="N867" s="8"/>
      <c r="O867" s="8"/>
      <c r="P867" s="8"/>
      <c r="Q867" s="8"/>
      <c r="R867" s="8"/>
      <c r="S867" s="8" t="s">
        <v>63</v>
      </c>
      <c r="T867" s="7"/>
      <c r="U867" s="7"/>
      <c r="V867" s="7"/>
    </row>
    <row r="868" spans="2:22" ht="15.75" customHeight="1"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8"/>
      <c r="M868" s="7"/>
      <c r="N868" s="8"/>
      <c r="O868" s="8"/>
      <c r="P868" s="8"/>
      <c r="Q868" s="8"/>
      <c r="R868" s="8"/>
      <c r="S868" s="8" t="s">
        <v>63</v>
      </c>
      <c r="T868" s="7"/>
      <c r="U868" s="7"/>
      <c r="V868" s="7"/>
    </row>
    <row r="869" spans="2:22" ht="15.75" customHeight="1"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8"/>
      <c r="M869" s="7"/>
      <c r="N869" s="8"/>
      <c r="O869" s="8"/>
      <c r="P869" s="8"/>
      <c r="Q869" s="8"/>
      <c r="R869" s="8"/>
      <c r="S869" s="8" t="s">
        <v>63</v>
      </c>
      <c r="T869" s="7"/>
      <c r="U869" s="7"/>
      <c r="V869" s="7"/>
    </row>
    <row r="870" spans="2:22" ht="15.75" customHeight="1"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8"/>
      <c r="M870" s="7"/>
      <c r="N870" s="8"/>
      <c r="O870" s="8"/>
      <c r="P870" s="8"/>
      <c r="Q870" s="8"/>
      <c r="R870" s="8"/>
      <c r="S870" s="8" t="s">
        <v>63</v>
      </c>
      <c r="T870" s="7"/>
      <c r="U870" s="7"/>
      <c r="V870" s="7"/>
    </row>
    <row r="871" spans="2:22" ht="15.75" customHeight="1"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8"/>
      <c r="M871" s="7"/>
      <c r="N871" s="8"/>
      <c r="O871" s="8"/>
      <c r="P871" s="8"/>
      <c r="Q871" s="8"/>
      <c r="R871" s="8"/>
      <c r="S871" s="8" t="s">
        <v>63</v>
      </c>
      <c r="T871" s="7"/>
      <c r="U871" s="7"/>
      <c r="V871" s="7"/>
    </row>
    <row r="872" spans="2:22" ht="15.75" customHeight="1"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8"/>
      <c r="M872" s="7"/>
      <c r="N872" s="8"/>
      <c r="O872" s="8"/>
      <c r="P872" s="8"/>
      <c r="Q872" s="8"/>
      <c r="R872" s="8"/>
      <c r="S872" s="8" t="s">
        <v>63</v>
      </c>
      <c r="T872" s="7"/>
      <c r="U872" s="7"/>
      <c r="V872" s="7"/>
    </row>
    <row r="873" spans="2:22" ht="15.75" customHeight="1"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8"/>
      <c r="M873" s="7"/>
      <c r="N873" s="8"/>
      <c r="O873" s="8"/>
      <c r="P873" s="8"/>
      <c r="Q873" s="8"/>
      <c r="R873" s="8"/>
      <c r="S873" s="8" t="s">
        <v>63</v>
      </c>
      <c r="T873" s="7"/>
      <c r="U873" s="7"/>
      <c r="V873" s="7"/>
    </row>
    <row r="874" spans="2:22" ht="15.75" customHeight="1"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8"/>
      <c r="M874" s="7"/>
      <c r="N874" s="8"/>
      <c r="O874" s="8"/>
      <c r="P874" s="8"/>
      <c r="Q874" s="8"/>
      <c r="R874" s="8"/>
      <c r="S874" s="8" t="s">
        <v>63</v>
      </c>
      <c r="T874" s="7"/>
      <c r="U874" s="7"/>
      <c r="V874" s="7"/>
    </row>
    <row r="875" spans="2:22" ht="15.75" customHeight="1"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8"/>
      <c r="M875" s="7"/>
      <c r="N875" s="8"/>
      <c r="O875" s="8"/>
      <c r="P875" s="8"/>
      <c r="Q875" s="8"/>
      <c r="R875" s="8"/>
      <c r="S875" s="8" t="s">
        <v>63</v>
      </c>
      <c r="T875" s="7"/>
      <c r="U875" s="7"/>
      <c r="V875" s="7"/>
    </row>
    <row r="876" spans="2:22" ht="15.75" customHeight="1"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8"/>
      <c r="M876" s="7"/>
      <c r="N876" s="8"/>
      <c r="O876" s="8"/>
      <c r="P876" s="8"/>
      <c r="Q876" s="8"/>
      <c r="R876" s="8"/>
      <c r="S876" s="8" t="s">
        <v>63</v>
      </c>
      <c r="T876" s="7"/>
      <c r="U876" s="7"/>
      <c r="V876" s="7"/>
    </row>
    <row r="877" spans="2:22" ht="15.75" customHeight="1"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8"/>
      <c r="M877" s="7"/>
      <c r="N877" s="8"/>
      <c r="O877" s="8"/>
      <c r="P877" s="8"/>
      <c r="Q877" s="8"/>
      <c r="R877" s="8"/>
      <c r="S877" s="8" t="s">
        <v>63</v>
      </c>
      <c r="T877" s="7"/>
      <c r="U877" s="7"/>
      <c r="V877" s="7"/>
    </row>
    <row r="878" spans="2:22" ht="15.75" customHeight="1"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8"/>
      <c r="M878" s="7"/>
      <c r="N878" s="8"/>
      <c r="O878" s="8"/>
      <c r="P878" s="8"/>
      <c r="Q878" s="8"/>
      <c r="R878" s="8"/>
      <c r="S878" s="8" t="s">
        <v>63</v>
      </c>
      <c r="T878" s="7"/>
      <c r="U878" s="7"/>
      <c r="V878" s="7"/>
    </row>
    <row r="879" spans="2:22" ht="15.75" customHeight="1"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8"/>
      <c r="M879" s="7"/>
      <c r="N879" s="8"/>
      <c r="O879" s="8"/>
      <c r="P879" s="8"/>
      <c r="Q879" s="8"/>
      <c r="R879" s="8"/>
      <c r="S879" s="8" t="s">
        <v>63</v>
      </c>
      <c r="T879" s="7"/>
      <c r="U879" s="7"/>
      <c r="V879" s="7"/>
    </row>
    <row r="880" spans="2:22" ht="15.75" customHeight="1"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8"/>
      <c r="M880" s="7"/>
      <c r="N880" s="8"/>
      <c r="O880" s="8"/>
      <c r="P880" s="8"/>
      <c r="Q880" s="8"/>
      <c r="R880" s="8"/>
      <c r="S880" s="8" t="s">
        <v>63</v>
      </c>
      <c r="T880" s="7"/>
      <c r="U880" s="7"/>
      <c r="V880" s="7"/>
    </row>
    <row r="881" spans="2:22" ht="15.75" customHeight="1"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8"/>
      <c r="M881" s="7"/>
      <c r="N881" s="8"/>
      <c r="O881" s="8"/>
      <c r="P881" s="8"/>
      <c r="Q881" s="8"/>
      <c r="R881" s="8"/>
      <c r="S881" s="8" t="s">
        <v>63</v>
      </c>
      <c r="T881" s="7"/>
      <c r="U881" s="7"/>
      <c r="V881" s="7"/>
    </row>
    <row r="882" spans="2:22" ht="15.75" customHeight="1"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8"/>
      <c r="M882" s="7"/>
      <c r="N882" s="8"/>
      <c r="O882" s="8"/>
      <c r="P882" s="8"/>
      <c r="Q882" s="8"/>
      <c r="R882" s="8"/>
      <c r="S882" s="8" t="s">
        <v>63</v>
      </c>
      <c r="T882" s="7"/>
      <c r="U882" s="7"/>
      <c r="V882" s="7"/>
    </row>
    <row r="883" spans="2:22" ht="15.75" customHeight="1"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8"/>
      <c r="M883" s="7"/>
      <c r="N883" s="8"/>
      <c r="O883" s="8"/>
      <c r="P883" s="8"/>
      <c r="Q883" s="8"/>
      <c r="R883" s="8"/>
      <c r="S883" s="8" t="s">
        <v>63</v>
      </c>
      <c r="T883" s="7"/>
      <c r="U883" s="7"/>
      <c r="V883" s="7"/>
    </row>
    <row r="884" spans="2:22" ht="15.75" customHeight="1"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8"/>
      <c r="M884" s="7"/>
      <c r="N884" s="8"/>
      <c r="O884" s="8"/>
      <c r="P884" s="8"/>
      <c r="Q884" s="8"/>
      <c r="R884" s="8"/>
      <c r="S884" s="8" t="s">
        <v>63</v>
      </c>
      <c r="T884" s="7"/>
      <c r="U884" s="7"/>
      <c r="V884" s="7"/>
    </row>
    <row r="885" spans="2:22" ht="15.75" customHeight="1"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8"/>
      <c r="M885" s="7"/>
      <c r="N885" s="8"/>
      <c r="O885" s="8"/>
      <c r="P885" s="8"/>
      <c r="Q885" s="8"/>
      <c r="R885" s="8"/>
      <c r="S885" s="8" t="s">
        <v>63</v>
      </c>
      <c r="T885" s="7"/>
      <c r="U885" s="7"/>
      <c r="V885" s="7"/>
    </row>
    <row r="886" spans="2:22" ht="15.75" customHeight="1"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8"/>
      <c r="M886" s="7"/>
      <c r="N886" s="8"/>
      <c r="O886" s="8"/>
      <c r="P886" s="8"/>
      <c r="Q886" s="8"/>
      <c r="R886" s="8"/>
      <c r="S886" s="8" t="s">
        <v>63</v>
      </c>
      <c r="T886" s="7"/>
      <c r="U886" s="7"/>
      <c r="V886" s="7"/>
    </row>
    <row r="887" spans="2:22" ht="15.75" customHeight="1"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8"/>
      <c r="M887" s="7"/>
      <c r="N887" s="8"/>
      <c r="O887" s="8"/>
      <c r="P887" s="8"/>
      <c r="Q887" s="8"/>
      <c r="R887" s="8"/>
      <c r="S887" s="8" t="s">
        <v>63</v>
      </c>
      <c r="T887" s="7"/>
      <c r="U887" s="7"/>
      <c r="V887" s="7"/>
    </row>
    <row r="888" spans="2:22" ht="15.75" customHeight="1"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8"/>
      <c r="M888" s="7"/>
      <c r="N888" s="8"/>
      <c r="O888" s="8"/>
      <c r="P888" s="8"/>
      <c r="Q888" s="8"/>
      <c r="R888" s="8"/>
      <c r="S888" s="8" t="s">
        <v>63</v>
      </c>
      <c r="T888" s="7"/>
      <c r="U888" s="7"/>
      <c r="V888" s="7"/>
    </row>
    <row r="889" spans="2:22" ht="15.75" customHeight="1"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8"/>
      <c r="M889" s="7"/>
      <c r="N889" s="8"/>
      <c r="O889" s="8"/>
      <c r="P889" s="8"/>
      <c r="Q889" s="8"/>
      <c r="R889" s="8"/>
      <c r="S889" s="8" t="s">
        <v>63</v>
      </c>
      <c r="T889" s="7"/>
      <c r="U889" s="7"/>
      <c r="V889" s="7"/>
    </row>
    <row r="890" spans="2:22" ht="15.75" customHeight="1"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8"/>
      <c r="M890" s="7"/>
      <c r="N890" s="8"/>
      <c r="O890" s="8"/>
      <c r="P890" s="8"/>
      <c r="Q890" s="8"/>
      <c r="R890" s="8"/>
      <c r="S890" s="8" t="s">
        <v>63</v>
      </c>
      <c r="T890" s="7"/>
      <c r="U890" s="7"/>
      <c r="V890" s="7"/>
    </row>
    <row r="891" spans="2:22" ht="15.75" customHeight="1"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8"/>
      <c r="M891" s="7"/>
      <c r="N891" s="8"/>
      <c r="O891" s="8"/>
      <c r="P891" s="8"/>
      <c r="Q891" s="8"/>
      <c r="R891" s="8"/>
      <c r="S891" s="8" t="s">
        <v>63</v>
      </c>
      <c r="T891" s="7"/>
      <c r="U891" s="7"/>
      <c r="V891" s="7"/>
    </row>
    <row r="892" spans="2:22" ht="15.75" customHeight="1"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8"/>
      <c r="M892" s="7"/>
      <c r="N892" s="8"/>
      <c r="O892" s="8"/>
      <c r="P892" s="8"/>
      <c r="Q892" s="8"/>
      <c r="R892" s="8"/>
      <c r="S892" s="8" t="s">
        <v>63</v>
      </c>
      <c r="T892" s="7"/>
      <c r="U892" s="7"/>
      <c r="V892" s="7"/>
    </row>
    <row r="893" spans="2:22" ht="15.75" customHeight="1"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8"/>
      <c r="M893" s="7"/>
      <c r="N893" s="8"/>
      <c r="O893" s="8"/>
      <c r="P893" s="8"/>
      <c r="Q893" s="8"/>
      <c r="R893" s="8"/>
      <c r="S893" s="8" t="s">
        <v>63</v>
      </c>
      <c r="T893" s="7"/>
      <c r="U893" s="7"/>
      <c r="V893" s="7"/>
    </row>
    <row r="894" spans="2:22" ht="15.75" customHeight="1"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8"/>
      <c r="M894" s="7"/>
      <c r="N894" s="8"/>
      <c r="O894" s="8"/>
      <c r="P894" s="8"/>
      <c r="Q894" s="8"/>
      <c r="R894" s="8"/>
      <c r="S894" s="8" t="s">
        <v>63</v>
      </c>
      <c r="T894" s="7"/>
      <c r="U894" s="7"/>
      <c r="V894" s="7"/>
    </row>
    <row r="895" spans="2:22" ht="15.75" customHeight="1"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8"/>
      <c r="M895" s="7"/>
      <c r="N895" s="8"/>
      <c r="O895" s="8"/>
      <c r="P895" s="8"/>
      <c r="Q895" s="8"/>
      <c r="R895" s="8"/>
      <c r="S895" s="8" t="s">
        <v>63</v>
      </c>
      <c r="T895" s="7"/>
      <c r="U895" s="7"/>
      <c r="V895" s="7"/>
    </row>
    <row r="896" spans="2:22" ht="15.75" customHeight="1"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8"/>
      <c r="M896" s="7"/>
      <c r="N896" s="8"/>
      <c r="O896" s="8"/>
      <c r="P896" s="8"/>
      <c r="Q896" s="8"/>
      <c r="R896" s="8"/>
      <c r="S896" s="8" t="s">
        <v>63</v>
      </c>
      <c r="T896" s="7"/>
      <c r="U896" s="7"/>
      <c r="V896" s="7"/>
    </row>
    <row r="897" spans="2:22" ht="15.75" customHeight="1"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8"/>
      <c r="M897" s="7"/>
      <c r="N897" s="8"/>
      <c r="O897" s="8"/>
      <c r="P897" s="8"/>
      <c r="Q897" s="8"/>
      <c r="R897" s="8"/>
      <c r="S897" s="8" t="s">
        <v>63</v>
      </c>
      <c r="T897" s="7"/>
      <c r="U897" s="7"/>
      <c r="V897" s="7"/>
    </row>
    <row r="898" spans="2:22" ht="15.75" customHeight="1"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8"/>
      <c r="M898" s="7"/>
      <c r="N898" s="8"/>
      <c r="O898" s="8"/>
      <c r="P898" s="8"/>
      <c r="Q898" s="8"/>
      <c r="R898" s="8"/>
      <c r="S898" s="8" t="s">
        <v>63</v>
      </c>
      <c r="T898" s="7"/>
      <c r="U898" s="7"/>
      <c r="V898" s="7"/>
    </row>
    <row r="899" spans="2:22" ht="15.75" customHeight="1"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8"/>
      <c r="M899" s="7"/>
      <c r="N899" s="8"/>
      <c r="O899" s="8"/>
      <c r="P899" s="8"/>
      <c r="Q899" s="8"/>
      <c r="R899" s="8"/>
      <c r="S899" s="8" t="s">
        <v>63</v>
      </c>
      <c r="T899" s="7"/>
      <c r="U899" s="7"/>
      <c r="V899" s="7"/>
    </row>
    <row r="900" spans="2:22" ht="15.75" customHeight="1"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8"/>
      <c r="M900" s="7"/>
      <c r="N900" s="8"/>
      <c r="O900" s="8"/>
      <c r="P900" s="8"/>
      <c r="Q900" s="8"/>
      <c r="R900" s="8"/>
      <c r="S900" s="8" t="s">
        <v>63</v>
      </c>
      <c r="T900" s="7"/>
      <c r="U900" s="7"/>
      <c r="V900" s="7"/>
    </row>
    <row r="901" spans="2:22" ht="15.75" customHeight="1"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8"/>
      <c r="M901" s="7"/>
      <c r="N901" s="8"/>
      <c r="O901" s="8"/>
      <c r="P901" s="8"/>
      <c r="Q901" s="8"/>
      <c r="R901" s="8"/>
      <c r="S901" s="8" t="s">
        <v>63</v>
      </c>
      <c r="T901" s="7"/>
      <c r="U901" s="7"/>
      <c r="V901" s="7"/>
    </row>
    <row r="902" spans="2:22" ht="15.75" customHeight="1"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8"/>
      <c r="M902" s="7"/>
      <c r="N902" s="8"/>
      <c r="O902" s="8"/>
      <c r="P902" s="8"/>
      <c r="Q902" s="8"/>
      <c r="R902" s="8"/>
      <c r="S902" s="8" t="s">
        <v>63</v>
      </c>
      <c r="T902" s="7"/>
      <c r="U902" s="7"/>
      <c r="V902" s="7"/>
    </row>
    <row r="903" spans="2:22" ht="15.75" customHeight="1"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8"/>
      <c r="M903" s="7"/>
      <c r="N903" s="8"/>
      <c r="O903" s="8"/>
      <c r="P903" s="8"/>
      <c r="Q903" s="8"/>
      <c r="R903" s="8"/>
      <c r="S903" s="8" t="s">
        <v>63</v>
      </c>
      <c r="T903" s="7"/>
      <c r="U903" s="7"/>
      <c r="V903" s="7"/>
    </row>
    <row r="904" spans="2:22" ht="15.75" customHeight="1"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8"/>
      <c r="M904" s="7"/>
      <c r="N904" s="8"/>
      <c r="O904" s="8"/>
      <c r="P904" s="8"/>
      <c r="Q904" s="8"/>
      <c r="R904" s="8"/>
      <c r="S904" s="8" t="s">
        <v>63</v>
      </c>
      <c r="T904" s="7"/>
      <c r="U904" s="7"/>
      <c r="V904" s="7"/>
    </row>
    <row r="905" spans="2:22" ht="15.75" customHeight="1"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8"/>
      <c r="M905" s="7"/>
      <c r="N905" s="8"/>
      <c r="O905" s="8"/>
      <c r="P905" s="8"/>
      <c r="Q905" s="8"/>
      <c r="R905" s="8"/>
      <c r="S905" s="8" t="s">
        <v>63</v>
      </c>
      <c r="T905" s="7"/>
      <c r="U905" s="7"/>
      <c r="V905" s="7"/>
    </row>
    <row r="906" spans="2:22" ht="15.75" customHeight="1"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8"/>
      <c r="M906" s="7"/>
      <c r="N906" s="8"/>
      <c r="O906" s="8"/>
      <c r="P906" s="8"/>
      <c r="Q906" s="8"/>
      <c r="R906" s="8"/>
      <c r="S906" s="8" t="s">
        <v>63</v>
      </c>
      <c r="T906" s="7"/>
      <c r="U906" s="7"/>
      <c r="V906" s="7"/>
    </row>
    <row r="907" spans="2:22" ht="15.75" customHeight="1"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8"/>
      <c r="M907" s="7"/>
      <c r="N907" s="8"/>
      <c r="O907" s="8"/>
      <c r="P907" s="8"/>
      <c r="Q907" s="8"/>
      <c r="R907" s="8"/>
      <c r="S907" s="8" t="s">
        <v>63</v>
      </c>
      <c r="T907" s="7"/>
      <c r="U907" s="7"/>
      <c r="V907" s="7"/>
    </row>
    <row r="908" spans="2:22" ht="15.75" customHeight="1"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8"/>
      <c r="M908" s="7"/>
      <c r="N908" s="8"/>
      <c r="O908" s="8"/>
      <c r="P908" s="8"/>
      <c r="Q908" s="8"/>
      <c r="R908" s="8"/>
      <c r="S908" s="8" t="s">
        <v>63</v>
      </c>
      <c r="T908" s="7"/>
      <c r="U908" s="7"/>
      <c r="V908" s="7"/>
    </row>
    <row r="909" spans="2:22" ht="15.75" customHeight="1"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8"/>
      <c r="M909" s="7"/>
      <c r="N909" s="8"/>
      <c r="O909" s="8"/>
      <c r="P909" s="8"/>
      <c r="Q909" s="8"/>
      <c r="R909" s="8"/>
      <c r="S909" s="8" t="s">
        <v>63</v>
      </c>
      <c r="T909" s="7"/>
      <c r="U909" s="7"/>
      <c r="V909" s="7"/>
    </row>
    <row r="910" spans="2:22" ht="15.75" customHeight="1"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8"/>
      <c r="M910" s="7"/>
      <c r="N910" s="8"/>
      <c r="O910" s="8"/>
      <c r="P910" s="8"/>
      <c r="Q910" s="8"/>
      <c r="R910" s="8"/>
      <c r="S910" s="8" t="s">
        <v>63</v>
      </c>
      <c r="T910" s="7"/>
      <c r="U910" s="7"/>
      <c r="V910" s="7"/>
    </row>
    <row r="911" spans="2:22" ht="15.75" customHeight="1"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8"/>
      <c r="M911" s="7"/>
      <c r="N911" s="8"/>
      <c r="O911" s="8"/>
      <c r="P911" s="8"/>
      <c r="Q911" s="8"/>
      <c r="R911" s="8"/>
      <c r="S911" s="8" t="s">
        <v>63</v>
      </c>
      <c r="T911" s="7"/>
      <c r="U911" s="7"/>
      <c r="V911" s="7"/>
    </row>
    <row r="912" spans="2:22" ht="15.75" customHeight="1"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8"/>
      <c r="M912" s="7"/>
      <c r="N912" s="8"/>
      <c r="O912" s="8"/>
      <c r="P912" s="8"/>
      <c r="Q912" s="8"/>
      <c r="R912" s="8"/>
      <c r="S912" s="8" t="s">
        <v>63</v>
      </c>
      <c r="T912" s="7"/>
      <c r="U912" s="7"/>
      <c r="V912" s="7"/>
    </row>
    <row r="913" spans="2:22" ht="15.75" customHeight="1"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8"/>
      <c r="M913" s="7"/>
      <c r="N913" s="8"/>
      <c r="O913" s="8"/>
      <c r="P913" s="8"/>
      <c r="Q913" s="8"/>
      <c r="R913" s="8"/>
      <c r="S913" s="8" t="s">
        <v>63</v>
      </c>
      <c r="T913" s="7"/>
      <c r="U913" s="7"/>
      <c r="V913" s="7"/>
    </row>
    <row r="914" spans="2:22" ht="15.75" customHeight="1"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8"/>
      <c r="M914" s="7"/>
      <c r="N914" s="8"/>
      <c r="O914" s="8"/>
      <c r="P914" s="8"/>
      <c r="Q914" s="8"/>
      <c r="R914" s="8"/>
      <c r="S914" s="8" t="s">
        <v>63</v>
      </c>
      <c r="T914" s="7"/>
      <c r="U914" s="7"/>
      <c r="V914" s="7"/>
    </row>
    <row r="915" spans="2:22" ht="15.75" customHeight="1"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8"/>
      <c r="M915" s="7"/>
      <c r="N915" s="8"/>
      <c r="O915" s="8"/>
      <c r="P915" s="8"/>
      <c r="Q915" s="8"/>
      <c r="R915" s="8"/>
      <c r="S915" s="8" t="s">
        <v>63</v>
      </c>
      <c r="T915" s="7"/>
      <c r="U915" s="7"/>
      <c r="V915" s="7"/>
    </row>
    <row r="916" spans="2:22" ht="15.75" customHeight="1"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8"/>
      <c r="M916" s="7"/>
      <c r="N916" s="8"/>
      <c r="O916" s="8"/>
      <c r="P916" s="8"/>
      <c r="Q916" s="8"/>
      <c r="R916" s="8"/>
      <c r="S916" s="8" t="s">
        <v>63</v>
      </c>
      <c r="T916" s="7"/>
      <c r="U916" s="7"/>
      <c r="V916" s="7"/>
    </row>
    <row r="917" spans="2:22" ht="15.75" customHeight="1"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8"/>
      <c r="M917" s="7"/>
      <c r="N917" s="8"/>
      <c r="O917" s="8"/>
      <c r="P917" s="8"/>
      <c r="Q917" s="8"/>
      <c r="R917" s="8"/>
      <c r="S917" s="8" t="s">
        <v>63</v>
      </c>
      <c r="T917" s="7"/>
      <c r="U917" s="7"/>
      <c r="V917" s="7"/>
    </row>
    <row r="918" spans="2:22" ht="15.75" customHeight="1"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8"/>
      <c r="M918" s="7"/>
      <c r="N918" s="8"/>
      <c r="O918" s="8"/>
      <c r="P918" s="8"/>
      <c r="Q918" s="8"/>
      <c r="R918" s="8"/>
      <c r="S918" s="8" t="s">
        <v>63</v>
      </c>
      <c r="T918" s="7"/>
      <c r="U918" s="7"/>
      <c r="V918" s="7"/>
    </row>
    <row r="919" spans="2:22" ht="15.75" customHeight="1"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8"/>
      <c r="M919" s="7"/>
      <c r="N919" s="8"/>
      <c r="O919" s="8"/>
      <c r="P919" s="8"/>
      <c r="Q919" s="8"/>
      <c r="R919" s="8"/>
      <c r="S919" s="8" t="s">
        <v>63</v>
      </c>
      <c r="T919" s="7"/>
      <c r="U919" s="7"/>
      <c r="V919" s="7"/>
    </row>
    <row r="920" spans="2:22" ht="15.75" customHeight="1"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8"/>
      <c r="M920" s="7"/>
      <c r="N920" s="8"/>
      <c r="O920" s="8"/>
      <c r="P920" s="8"/>
      <c r="Q920" s="8"/>
      <c r="R920" s="8"/>
      <c r="S920" s="8" t="s">
        <v>63</v>
      </c>
      <c r="T920" s="7"/>
      <c r="U920" s="7"/>
      <c r="V920" s="7"/>
    </row>
    <row r="921" spans="2:22" ht="15.75" customHeight="1"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8"/>
      <c r="M921" s="7"/>
      <c r="N921" s="8"/>
      <c r="O921" s="8"/>
      <c r="P921" s="8"/>
      <c r="Q921" s="8"/>
      <c r="R921" s="8"/>
      <c r="S921" s="8" t="s">
        <v>63</v>
      </c>
      <c r="T921" s="7"/>
      <c r="U921" s="7"/>
      <c r="V921" s="7"/>
    </row>
    <row r="922" spans="2:22" ht="15.75" customHeight="1"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8"/>
      <c r="M922" s="7"/>
      <c r="N922" s="8"/>
      <c r="O922" s="8"/>
      <c r="P922" s="8"/>
      <c r="Q922" s="8"/>
      <c r="R922" s="8"/>
      <c r="S922" s="8" t="s">
        <v>63</v>
      </c>
      <c r="T922" s="7"/>
      <c r="U922" s="7"/>
      <c r="V922" s="7"/>
    </row>
    <row r="923" spans="2:22" ht="15.75" customHeight="1"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8"/>
      <c r="M923" s="7"/>
      <c r="N923" s="8"/>
      <c r="O923" s="8"/>
      <c r="P923" s="8"/>
      <c r="Q923" s="8"/>
      <c r="R923" s="8"/>
      <c r="S923" s="8" t="s">
        <v>63</v>
      </c>
      <c r="T923" s="7"/>
      <c r="U923" s="7"/>
      <c r="V923" s="7"/>
    </row>
    <row r="924" spans="2:22" ht="15.75" customHeight="1"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8"/>
      <c r="M924" s="7"/>
      <c r="N924" s="8"/>
      <c r="O924" s="8"/>
      <c r="P924" s="8"/>
      <c r="Q924" s="8"/>
      <c r="R924" s="8"/>
      <c r="S924" s="8" t="s">
        <v>63</v>
      </c>
      <c r="T924" s="7"/>
      <c r="U924" s="7"/>
      <c r="V924" s="7"/>
    </row>
    <row r="925" spans="2:22" ht="15.75" customHeight="1"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8"/>
      <c r="M925" s="7"/>
      <c r="N925" s="8"/>
      <c r="O925" s="8"/>
      <c r="P925" s="8"/>
      <c r="Q925" s="8"/>
      <c r="R925" s="8"/>
      <c r="S925" s="8" t="s">
        <v>63</v>
      </c>
      <c r="T925" s="7"/>
      <c r="U925" s="7"/>
      <c r="V925" s="7"/>
    </row>
    <row r="926" spans="2:22" ht="15.75" customHeight="1"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8"/>
      <c r="M926" s="7"/>
      <c r="N926" s="8"/>
      <c r="O926" s="8"/>
      <c r="P926" s="8"/>
      <c r="Q926" s="8"/>
      <c r="R926" s="8"/>
      <c r="S926" s="8" t="s">
        <v>63</v>
      </c>
      <c r="T926" s="7"/>
      <c r="U926" s="7"/>
      <c r="V926" s="7"/>
    </row>
    <row r="927" spans="2:22" ht="15.75" customHeight="1"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8"/>
      <c r="M927" s="7"/>
      <c r="N927" s="8"/>
      <c r="O927" s="8"/>
      <c r="P927" s="8"/>
      <c r="Q927" s="8"/>
      <c r="R927" s="8"/>
      <c r="S927" s="8" t="s">
        <v>63</v>
      </c>
      <c r="T927" s="7"/>
      <c r="U927" s="7"/>
      <c r="V927" s="7"/>
    </row>
    <row r="928" spans="2:22" ht="15.75" customHeight="1"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8"/>
      <c r="M928" s="7"/>
      <c r="N928" s="8"/>
      <c r="O928" s="8"/>
      <c r="P928" s="8"/>
      <c r="Q928" s="8"/>
      <c r="R928" s="8"/>
      <c r="S928" s="8" t="s">
        <v>63</v>
      </c>
      <c r="T928" s="7"/>
      <c r="U928" s="7"/>
      <c r="V928" s="7"/>
    </row>
    <row r="929" spans="2:22" ht="15.75" customHeight="1"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8"/>
      <c r="M929" s="7"/>
      <c r="N929" s="8"/>
      <c r="O929" s="8"/>
      <c r="P929" s="8"/>
      <c r="Q929" s="8"/>
      <c r="R929" s="8"/>
      <c r="S929" s="8" t="s">
        <v>63</v>
      </c>
      <c r="T929" s="7"/>
      <c r="U929" s="7"/>
      <c r="V929" s="7"/>
    </row>
    <row r="930" spans="2:22" ht="15.75" customHeight="1"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8"/>
      <c r="M930" s="7"/>
      <c r="N930" s="8"/>
      <c r="O930" s="8"/>
      <c r="P930" s="8"/>
      <c r="Q930" s="8"/>
      <c r="R930" s="8"/>
      <c r="S930" s="8" t="s">
        <v>63</v>
      </c>
      <c r="T930" s="7"/>
      <c r="U930" s="7"/>
      <c r="V930" s="7"/>
    </row>
    <row r="931" spans="2:22" ht="15.75" customHeight="1"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8"/>
      <c r="M931" s="7"/>
      <c r="N931" s="8"/>
      <c r="O931" s="8"/>
      <c r="P931" s="8"/>
      <c r="Q931" s="8"/>
      <c r="R931" s="8"/>
      <c r="S931" s="8" t="s">
        <v>63</v>
      </c>
      <c r="T931" s="7"/>
      <c r="U931" s="7"/>
      <c r="V931" s="7"/>
    </row>
    <row r="932" spans="2:22" ht="15.75" customHeight="1"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8"/>
      <c r="M932" s="7"/>
      <c r="N932" s="8"/>
      <c r="O932" s="8"/>
      <c r="P932" s="8"/>
      <c r="Q932" s="8"/>
      <c r="R932" s="8"/>
      <c r="S932" s="8" t="s">
        <v>63</v>
      </c>
      <c r="T932" s="7"/>
      <c r="U932" s="7"/>
      <c r="V932" s="7"/>
    </row>
    <row r="933" spans="2:22" ht="15.75" customHeight="1"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8"/>
      <c r="M933" s="7"/>
      <c r="N933" s="8"/>
      <c r="O933" s="8"/>
      <c r="P933" s="8"/>
      <c r="Q933" s="8"/>
      <c r="R933" s="8"/>
      <c r="S933" s="8" t="s">
        <v>63</v>
      </c>
      <c r="T933" s="7"/>
      <c r="U933" s="7"/>
      <c r="V933" s="7"/>
    </row>
    <row r="934" spans="2:22" ht="15.75" customHeight="1"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8"/>
      <c r="M934" s="7"/>
      <c r="N934" s="8"/>
      <c r="O934" s="8"/>
      <c r="P934" s="8"/>
      <c r="Q934" s="8"/>
      <c r="R934" s="8"/>
      <c r="S934" s="8" t="s">
        <v>63</v>
      </c>
      <c r="T934" s="7"/>
      <c r="U934" s="7"/>
      <c r="V934" s="7"/>
    </row>
    <row r="935" spans="2:22" ht="15.75" customHeight="1"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8"/>
      <c r="M935" s="7"/>
      <c r="N935" s="8"/>
      <c r="O935" s="8"/>
      <c r="P935" s="8"/>
      <c r="Q935" s="8"/>
      <c r="R935" s="8"/>
      <c r="S935" s="8" t="s">
        <v>63</v>
      </c>
      <c r="T935" s="7"/>
      <c r="U935" s="7"/>
      <c r="V935" s="7"/>
    </row>
    <row r="936" spans="2:22" ht="15.75" customHeight="1"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8"/>
      <c r="M936" s="7"/>
      <c r="N936" s="8"/>
      <c r="O936" s="8"/>
      <c r="P936" s="8"/>
      <c r="Q936" s="8"/>
      <c r="R936" s="8"/>
      <c r="S936" s="8" t="s">
        <v>63</v>
      </c>
      <c r="T936" s="7"/>
      <c r="U936" s="7"/>
      <c r="V936" s="7"/>
    </row>
    <row r="937" spans="2:22" ht="15.75" customHeight="1"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8"/>
      <c r="M937" s="7"/>
      <c r="N937" s="8"/>
      <c r="O937" s="8"/>
      <c r="P937" s="8"/>
      <c r="Q937" s="8"/>
      <c r="R937" s="8"/>
      <c r="S937" s="8" t="s">
        <v>63</v>
      </c>
      <c r="T937" s="7"/>
      <c r="U937" s="7"/>
      <c r="V937" s="7"/>
    </row>
    <row r="938" spans="2:22" ht="15.75" customHeight="1"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8"/>
      <c r="M938" s="7"/>
      <c r="N938" s="8"/>
      <c r="O938" s="8"/>
      <c r="P938" s="8"/>
      <c r="Q938" s="8"/>
      <c r="R938" s="8"/>
      <c r="S938" s="8" t="s">
        <v>63</v>
      </c>
      <c r="T938" s="7"/>
      <c r="U938" s="7"/>
      <c r="V938" s="7"/>
    </row>
    <row r="939" spans="2:22" ht="15.75" customHeight="1"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8"/>
      <c r="M939" s="7"/>
      <c r="N939" s="8"/>
      <c r="O939" s="8"/>
      <c r="P939" s="8"/>
      <c r="Q939" s="8"/>
      <c r="R939" s="8"/>
      <c r="S939" s="8" t="s">
        <v>63</v>
      </c>
      <c r="T939" s="7"/>
      <c r="U939" s="7"/>
      <c r="V939" s="7"/>
    </row>
    <row r="940" spans="2:22" ht="15.75" customHeight="1"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8"/>
      <c r="M940" s="7"/>
      <c r="N940" s="8"/>
      <c r="O940" s="8"/>
      <c r="P940" s="8"/>
      <c r="Q940" s="8"/>
      <c r="R940" s="8"/>
      <c r="S940" s="8" t="s">
        <v>63</v>
      </c>
      <c r="T940" s="7"/>
      <c r="U940" s="7"/>
      <c r="V940" s="7"/>
    </row>
    <row r="941" spans="2:22" ht="15.75" customHeight="1"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8"/>
      <c r="M941" s="7"/>
      <c r="N941" s="8"/>
      <c r="O941" s="8"/>
      <c r="P941" s="8"/>
      <c r="Q941" s="8"/>
      <c r="R941" s="8"/>
      <c r="S941" s="8" t="s">
        <v>63</v>
      </c>
      <c r="T941" s="7"/>
      <c r="U941" s="7"/>
      <c r="V941" s="7"/>
    </row>
    <row r="942" spans="2:22" ht="15.75" customHeight="1"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8"/>
      <c r="M942" s="7"/>
      <c r="N942" s="8"/>
      <c r="O942" s="8"/>
      <c r="P942" s="8"/>
      <c r="Q942" s="8"/>
      <c r="R942" s="8"/>
      <c r="S942" s="8" t="s">
        <v>63</v>
      </c>
      <c r="T942" s="7"/>
      <c r="U942" s="7"/>
      <c r="V942" s="7"/>
    </row>
    <row r="943" spans="2:22" ht="15.75" customHeight="1"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8"/>
      <c r="M943" s="7"/>
      <c r="N943" s="8"/>
      <c r="O943" s="8"/>
      <c r="P943" s="8"/>
      <c r="Q943" s="8"/>
      <c r="R943" s="8"/>
      <c r="S943" s="8" t="s">
        <v>63</v>
      </c>
      <c r="T943" s="7"/>
      <c r="U943" s="7"/>
      <c r="V943" s="7"/>
    </row>
    <row r="944" spans="2:22" ht="15.75" customHeight="1"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8"/>
      <c r="M944" s="7"/>
      <c r="N944" s="8"/>
      <c r="O944" s="8"/>
      <c r="P944" s="8"/>
      <c r="Q944" s="8"/>
      <c r="R944" s="8"/>
      <c r="S944" s="8" t="s">
        <v>63</v>
      </c>
      <c r="T944" s="7"/>
      <c r="U944" s="7"/>
      <c r="V944" s="7"/>
    </row>
    <row r="945" spans="2:22" ht="15.75" customHeight="1"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8"/>
      <c r="M945" s="7"/>
      <c r="N945" s="8"/>
      <c r="O945" s="8"/>
      <c r="P945" s="8"/>
      <c r="Q945" s="8"/>
      <c r="R945" s="8"/>
      <c r="S945" s="8" t="s">
        <v>63</v>
      </c>
      <c r="T945" s="7"/>
      <c r="U945" s="7"/>
      <c r="V945" s="7"/>
    </row>
    <row r="946" spans="2:22" ht="15.75" customHeight="1"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8"/>
      <c r="M946" s="7"/>
      <c r="N946" s="8"/>
      <c r="O946" s="8"/>
      <c r="P946" s="8"/>
      <c r="Q946" s="8"/>
      <c r="R946" s="8"/>
      <c r="S946" s="8" t="s">
        <v>63</v>
      </c>
      <c r="T946" s="7"/>
      <c r="U946" s="7"/>
      <c r="V946" s="7"/>
    </row>
    <row r="947" spans="2:22" ht="15.75" customHeight="1"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8"/>
      <c r="M947" s="7"/>
      <c r="N947" s="8"/>
      <c r="O947" s="8"/>
      <c r="P947" s="8"/>
      <c r="Q947" s="8"/>
      <c r="R947" s="8"/>
      <c r="S947" s="8" t="s">
        <v>63</v>
      </c>
      <c r="T947" s="7"/>
      <c r="U947" s="7"/>
      <c r="V947" s="7"/>
    </row>
    <row r="948" spans="2:22" ht="15.75" customHeight="1"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8"/>
      <c r="M948" s="7"/>
      <c r="N948" s="8"/>
      <c r="O948" s="8"/>
      <c r="P948" s="8"/>
      <c r="Q948" s="8"/>
      <c r="R948" s="8"/>
      <c r="S948" s="8" t="s">
        <v>63</v>
      </c>
      <c r="T948" s="7"/>
      <c r="U948" s="7"/>
      <c r="V948" s="7"/>
    </row>
    <row r="949" spans="2:22" ht="15.75" customHeight="1"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8"/>
      <c r="M949" s="7"/>
      <c r="N949" s="8"/>
      <c r="O949" s="8"/>
      <c r="P949" s="8"/>
      <c r="Q949" s="8"/>
      <c r="R949" s="8"/>
      <c r="S949" s="8" t="s">
        <v>63</v>
      </c>
      <c r="T949" s="7"/>
      <c r="U949" s="7"/>
      <c r="V949" s="7"/>
    </row>
    <row r="950" spans="2:22" ht="15.75" customHeight="1"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8"/>
      <c r="M950" s="7"/>
      <c r="N950" s="8"/>
      <c r="O950" s="8"/>
      <c r="P950" s="8"/>
      <c r="Q950" s="8"/>
      <c r="R950" s="8"/>
      <c r="S950" s="8" t="s">
        <v>63</v>
      </c>
      <c r="T950" s="7"/>
      <c r="U950" s="7"/>
      <c r="V950" s="7"/>
    </row>
    <row r="951" spans="2:22" ht="15.75" customHeight="1"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8"/>
      <c r="M951" s="7"/>
      <c r="N951" s="8"/>
      <c r="O951" s="8"/>
      <c r="P951" s="8"/>
      <c r="Q951" s="8"/>
      <c r="R951" s="8"/>
      <c r="S951" s="8" t="s">
        <v>63</v>
      </c>
      <c r="T951" s="7"/>
      <c r="U951" s="7"/>
      <c r="V951" s="7"/>
    </row>
    <row r="952" spans="2:22" ht="15.75" customHeight="1"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8"/>
      <c r="M952" s="7"/>
      <c r="N952" s="8"/>
      <c r="O952" s="8"/>
      <c r="P952" s="8"/>
      <c r="Q952" s="8"/>
      <c r="R952" s="8"/>
      <c r="S952" s="8" t="s">
        <v>63</v>
      </c>
      <c r="T952" s="7"/>
      <c r="U952" s="7"/>
      <c r="V952" s="7"/>
    </row>
    <row r="953" spans="2:22" ht="15.75" customHeight="1"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8"/>
      <c r="M953" s="7"/>
      <c r="N953" s="8"/>
      <c r="O953" s="8"/>
      <c r="P953" s="8"/>
      <c r="Q953" s="8"/>
      <c r="R953" s="8"/>
      <c r="S953" s="8" t="s">
        <v>63</v>
      </c>
      <c r="T953" s="7"/>
      <c r="U953" s="7"/>
      <c r="V953" s="7"/>
    </row>
    <row r="954" spans="2:22" ht="15.75" customHeight="1"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8"/>
      <c r="M954" s="7"/>
      <c r="N954" s="8"/>
      <c r="O954" s="8"/>
      <c r="P954" s="8"/>
      <c r="Q954" s="8"/>
      <c r="R954" s="8"/>
      <c r="S954" s="8" t="s">
        <v>63</v>
      </c>
      <c r="T954" s="7"/>
      <c r="U954" s="7"/>
      <c r="V954" s="7"/>
    </row>
    <row r="955" spans="2:22" ht="15.75" customHeight="1"/>
    <row r="956" spans="2:22" ht="15.75" customHeight="1"/>
    <row r="957" spans="2:22" ht="15.75" customHeight="1"/>
    <row r="958" spans="2:22" ht="15.75" customHeight="1"/>
    <row r="959" spans="2:22" ht="15.75" customHeight="1"/>
    <row r="960" spans="2:22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A1:R954" xr:uid="{00000000-0001-0000-0200-000000000000}"/>
  <customSheetViews>
    <customSheetView guid="{B810B3F9-511F-4A45-9EBE-B4951F95F51C}" filter="1" showAutoFilter="1">
      <pageMargins left="0.511811024" right="0.511811024" top="0.78740157499999996" bottom="0.78740157499999996" header="0.31496062000000002" footer="0.31496062000000002"/>
      <autoFilter ref="A1:R9" xr:uid="{A8E16558-2A67-4398-A8D4-1E8927266986}"/>
      <extLst>
        <ext uri="GoogleSheetsCustomDataVersion1">
          <go:sheetsCustomData xmlns:go="http://customooxmlschemas.google.com/" filterViewId="1538100185"/>
        </ext>
      </extLst>
    </customSheetView>
  </customSheetView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>
    <tabColor rgb="FF27326E"/>
    <outlinePr summaryBelow="0" summaryRight="0"/>
  </sheetPr>
  <dimension ref="A1:B1000"/>
  <sheetViews>
    <sheetView workbookViewId="0">
      <pane ySplit="1" topLeftCell="A2" activePane="bottomLeft" state="frozen"/>
      <selection pane="bottomLeft" activeCell="A5" sqref="A5"/>
    </sheetView>
  </sheetViews>
  <sheetFormatPr defaultColWidth="12.5703125" defaultRowHeight="15" customHeight="1"/>
  <cols>
    <col min="1" max="1" width="18.85546875" bestFit="1" customWidth="1"/>
    <col min="2" max="2" width="10.85546875" customWidth="1"/>
    <col min="3" max="6" width="12.5703125" customWidth="1"/>
  </cols>
  <sheetData>
    <row r="1" spans="1:2" ht="15.75" customHeight="1">
      <c r="A1" s="1" t="s">
        <v>110</v>
      </c>
      <c r="B1" s="1" t="s">
        <v>111</v>
      </c>
    </row>
    <row r="2" spans="1:2" ht="15.75" customHeight="1">
      <c r="A2" s="2" t="s">
        <v>165</v>
      </c>
      <c r="B2" s="10">
        <v>220</v>
      </c>
    </row>
    <row r="3" spans="1:2" ht="15.75" customHeight="1">
      <c r="A3" s="2" t="s">
        <v>112</v>
      </c>
      <c r="B3" s="10">
        <v>250</v>
      </c>
    </row>
    <row r="4" spans="1:2" ht="15.75" customHeight="1">
      <c r="A4" s="2" t="s">
        <v>113</v>
      </c>
      <c r="B4" s="10">
        <v>250</v>
      </c>
    </row>
    <row r="5" spans="1:2" ht="15.75" customHeight="1">
      <c r="A5" s="2" t="s">
        <v>114</v>
      </c>
      <c r="B5" s="10">
        <v>320</v>
      </c>
    </row>
    <row r="6" spans="1:2" ht="15.75" customHeight="1">
      <c r="A6" s="2" t="s">
        <v>115</v>
      </c>
      <c r="B6" s="10">
        <v>250</v>
      </c>
    </row>
    <row r="7" spans="1:2" ht="15.75" customHeight="1">
      <c r="A7" s="2" t="s">
        <v>116</v>
      </c>
      <c r="B7" s="10">
        <v>300</v>
      </c>
    </row>
    <row r="8" spans="1:2" ht="15.75" customHeight="1">
      <c r="A8" s="2" t="s">
        <v>117</v>
      </c>
      <c r="B8" s="10">
        <v>320</v>
      </c>
    </row>
    <row r="9" spans="1:2" ht="15.75" customHeight="1">
      <c r="A9" s="2" t="s">
        <v>118</v>
      </c>
      <c r="B9" s="10">
        <v>350</v>
      </c>
    </row>
    <row r="10" spans="1:2" ht="15.75" customHeight="1"/>
    <row r="11" spans="1:2" ht="15.75" customHeight="1"/>
    <row r="12" spans="1:2" ht="15.75" customHeight="1"/>
    <row r="13" spans="1:2" ht="15.75" customHeight="1"/>
    <row r="14" spans="1:2" ht="15.75" customHeight="1"/>
    <row r="15" spans="1:2" ht="15.75" customHeight="1"/>
    <row r="16" spans="1:2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rgb="FF27326E"/>
    <outlinePr summaryBelow="0" summaryRight="0"/>
  </sheetPr>
  <dimension ref="A1:B1000"/>
  <sheetViews>
    <sheetView workbookViewId="0">
      <pane ySplit="1" topLeftCell="A2" activePane="bottomLeft" state="frozen"/>
      <selection pane="bottomLeft" activeCell="B21" sqref="B21"/>
    </sheetView>
  </sheetViews>
  <sheetFormatPr defaultColWidth="12.5703125" defaultRowHeight="15" customHeight="1"/>
  <cols>
    <col min="1" max="1" width="23.140625" customWidth="1"/>
    <col min="2" max="2" width="15.28515625" bestFit="1" customWidth="1"/>
    <col min="3" max="6" width="12.5703125" customWidth="1"/>
  </cols>
  <sheetData>
    <row r="1" spans="1:2" ht="15.75" customHeight="1">
      <c r="A1" s="9" t="s">
        <v>108</v>
      </c>
      <c r="B1" s="5" t="s">
        <v>109</v>
      </c>
    </row>
    <row r="2" spans="1:2" ht="15.75" customHeight="1">
      <c r="A2" s="2" t="s">
        <v>33</v>
      </c>
      <c r="B2" s="2">
        <v>0.24</v>
      </c>
    </row>
    <row r="3" spans="1:2" ht="15.75" customHeight="1">
      <c r="A3" s="2" t="s">
        <v>34</v>
      </c>
      <c r="B3" s="2">
        <v>0.16</v>
      </c>
    </row>
    <row r="4" spans="1:2" ht="15.75" customHeight="1">
      <c r="A4" s="2" t="s">
        <v>53</v>
      </c>
      <c r="B4" s="70">
        <v>6.8000000000000005E-2</v>
      </c>
    </row>
    <row r="5" spans="1:2" ht="15.75" customHeight="1">
      <c r="A5" s="2" t="s">
        <v>35</v>
      </c>
      <c r="B5" s="2">
        <v>0.39</v>
      </c>
    </row>
    <row r="6" spans="1:2" ht="15.75" customHeight="1">
      <c r="A6" s="2" t="s">
        <v>51</v>
      </c>
      <c r="B6" s="2">
        <v>0.1</v>
      </c>
    </row>
    <row r="7" spans="1:2" ht="15.75" customHeight="1">
      <c r="A7" s="2" t="s">
        <v>52</v>
      </c>
      <c r="B7" s="2">
        <v>0.04</v>
      </c>
    </row>
    <row r="8" spans="1:2" ht="15.75" customHeight="1">
      <c r="A8" s="2" t="s">
        <v>41</v>
      </c>
      <c r="B8" s="2">
        <v>1.01</v>
      </c>
    </row>
    <row r="9" spans="1:2" ht="15.75" customHeight="1">
      <c r="A9" s="2" t="s">
        <v>37</v>
      </c>
      <c r="B9" s="2">
        <v>0.3</v>
      </c>
    </row>
    <row r="10" spans="1:2" ht="15.75" customHeight="1">
      <c r="A10" s="2" t="s">
        <v>39</v>
      </c>
      <c r="B10" s="2">
        <v>0.3</v>
      </c>
    </row>
    <row r="11" spans="1:2" ht="15.75" customHeight="1">
      <c r="A11" s="2" t="s">
        <v>40</v>
      </c>
      <c r="B11" s="2">
        <v>0.3</v>
      </c>
    </row>
    <row r="12" spans="1:2" ht="15.75" customHeight="1">
      <c r="A12" s="2" t="s">
        <v>38</v>
      </c>
      <c r="B12" s="2">
        <v>0.3</v>
      </c>
    </row>
    <row r="13" spans="1:2" ht="15.75" customHeight="1">
      <c r="A13" s="2" t="s">
        <v>36</v>
      </c>
      <c r="B13" s="2">
        <v>0.19</v>
      </c>
    </row>
    <row r="14" spans="1:2" ht="15.75" customHeight="1">
      <c r="A14" s="2" t="s">
        <v>42</v>
      </c>
      <c r="B14" s="2">
        <v>0.87</v>
      </c>
    </row>
    <row r="15" spans="1:2" ht="15.75" customHeight="1">
      <c r="A15" s="2" t="s">
        <v>44</v>
      </c>
      <c r="B15" s="2">
        <v>2.62</v>
      </c>
    </row>
    <row r="16" spans="1:2" ht="15.75" customHeight="1">
      <c r="A16" s="2" t="s">
        <v>45</v>
      </c>
      <c r="B16" s="2">
        <v>2.9</v>
      </c>
    </row>
    <row r="17" spans="1:2" ht="15.75" customHeight="1">
      <c r="A17" s="2" t="s">
        <v>43</v>
      </c>
      <c r="B17" s="2">
        <v>1.1100000000000001</v>
      </c>
    </row>
    <row r="18" spans="1:2" ht="15.75" customHeight="1">
      <c r="A18" s="2" t="s">
        <v>46</v>
      </c>
      <c r="B18" s="2">
        <v>1.06</v>
      </c>
    </row>
    <row r="19" spans="1:2" ht="15.75" customHeight="1">
      <c r="A19" s="2" t="s">
        <v>48</v>
      </c>
      <c r="B19" s="2">
        <v>1.56</v>
      </c>
    </row>
    <row r="20" spans="1:2" ht="15.75" customHeight="1">
      <c r="A20" s="2" t="s">
        <v>49</v>
      </c>
      <c r="B20" s="2">
        <v>1.8</v>
      </c>
    </row>
    <row r="21" spans="1:2" ht="15.75" customHeight="1">
      <c r="A21" s="2" t="s">
        <v>47</v>
      </c>
      <c r="B21" s="2">
        <v>1.56</v>
      </c>
    </row>
    <row r="22" spans="1:2" ht="15.75" customHeight="1"/>
    <row r="23" spans="1:2" ht="15.75" customHeight="1"/>
    <row r="24" spans="1:2" ht="15.75" customHeight="1"/>
    <row r="25" spans="1:2" ht="15.75" customHeight="1"/>
    <row r="26" spans="1:2" ht="15.75" customHeight="1"/>
    <row r="27" spans="1:2" ht="15.75" customHeight="1"/>
    <row r="28" spans="1:2" ht="15.75" customHeight="1"/>
    <row r="29" spans="1:2" ht="15.75" customHeight="1"/>
    <row r="30" spans="1:2" ht="15.75" customHeight="1"/>
    <row r="31" spans="1:2" ht="15.75" customHeight="1"/>
    <row r="32" spans="1: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.31496062000000002" footer="0.3149606200000000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27326E"/>
    <outlinePr summaryBelow="0" summaryRight="0"/>
  </sheetPr>
  <dimension ref="A1:E1000"/>
  <sheetViews>
    <sheetView workbookViewId="0">
      <pane ySplit="1" topLeftCell="A2" activePane="bottomLeft" state="frozen"/>
      <selection pane="bottomLeft" activeCell="A7" sqref="A7"/>
    </sheetView>
  </sheetViews>
  <sheetFormatPr defaultColWidth="12.5703125" defaultRowHeight="15" customHeight="1"/>
  <cols>
    <col min="1" max="1" width="14.7109375" customWidth="1"/>
    <col min="2" max="2" width="14" bestFit="1" customWidth="1"/>
    <col min="3" max="3" width="11.28515625" customWidth="1"/>
    <col min="4" max="4" width="26.28515625" customWidth="1"/>
    <col min="5" max="5" width="11.42578125" customWidth="1"/>
    <col min="6" max="6" width="12.5703125" customWidth="1"/>
  </cols>
  <sheetData>
    <row r="1" spans="1:5" ht="14.25" customHeight="1">
      <c r="A1" s="1" t="s">
        <v>119</v>
      </c>
      <c r="B1" s="1" t="s">
        <v>120</v>
      </c>
      <c r="C1" s="1" t="s">
        <v>121</v>
      </c>
      <c r="D1" s="1" t="s">
        <v>122</v>
      </c>
      <c r="E1" s="11" t="s">
        <v>123</v>
      </c>
    </row>
    <row r="2" spans="1:5" ht="15.75" customHeight="1">
      <c r="A2" s="12" t="s">
        <v>124</v>
      </c>
      <c r="B2" s="13" t="s">
        <v>125</v>
      </c>
      <c r="C2" s="14">
        <v>0.5</v>
      </c>
      <c r="D2" s="15">
        <v>1</v>
      </c>
      <c r="E2" s="16">
        <f t="shared" ref="E2:E7" si="0">D2*C2</f>
        <v>0.5</v>
      </c>
    </row>
    <row r="3" spans="1:5" ht="15.75" customHeight="1">
      <c r="A3" s="12" t="s">
        <v>124</v>
      </c>
      <c r="B3" s="13" t="s">
        <v>126</v>
      </c>
      <c r="C3" s="14">
        <v>2</v>
      </c>
      <c r="D3" s="15">
        <v>2</v>
      </c>
      <c r="E3" s="16">
        <f t="shared" si="0"/>
        <v>4</v>
      </c>
    </row>
    <row r="4" spans="1:5" ht="15.75" customHeight="1">
      <c r="A4" s="12" t="s">
        <v>124</v>
      </c>
      <c r="B4" s="13" t="s">
        <v>127</v>
      </c>
      <c r="C4" s="14">
        <v>1.5</v>
      </c>
      <c r="D4" s="15">
        <v>1</v>
      </c>
      <c r="E4" s="16">
        <f t="shared" si="0"/>
        <v>1.5</v>
      </c>
    </row>
    <row r="5" spans="1:5" ht="15.75" customHeight="1">
      <c r="A5" s="12" t="s">
        <v>124</v>
      </c>
      <c r="B5" s="13" t="s">
        <v>128</v>
      </c>
      <c r="C5" s="14">
        <v>1.5</v>
      </c>
      <c r="D5" s="15">
        <v>1</v>
      </c>
      <c r="E5" s="16">
        <f t="shared" si="0"/>
        <v>1.5</v>
      </c>
    </row>
    <row r="6" spans="1:5" ht="15.75" customHeight="1">
      <c r="A6" s="12" t="s">
        <v>129</v>
      </c>
      <c r="B6" s="13" t="s">
        <v>125</v>
      </c>
      <c r="C6" s="14">
        <v>0.5</v>
      </c>
      <c r="D6" s="15">
        <v>1</v>
      </c>
      <c r="E6" s="16">
        <f t="shared" si="0"/>
        <v>0.5</v>
      </c>
    </row>
    <row r="7" spans="1:5" ht="15.75" customHeight="1">
      <c r="A7" s="12" t="s">
        <v>129</v>
      </c>
      <c r="B7" s="13" t="s">
        <v>126</v>
      </c>
      <c r="C7" s="14">
        <v>2</v>
      </c>
      <c r="D7" s="15">
        <v>2</v>
      </c>
      <c r="E7" s="16">
        <f t="shared" si="0"/>
        <v>4</v>
      </c>
    </row>
    <row r="8" spans="1:5" ht="15.75" customHeight="1"/>
    <row r="9" spans="1:5" ht="15.75" customHeight="1"/>
    <row r="10" spans="1:5" ht="15.75" customHeight="1"/>
    <row r="11" spans="1:5" ht="15.75" customHeight="1"/>
    <row r="12" spans="1:5" ht="15.75" customHeight="1"/>
    <row r="13" spans="1:5" ht="15.75" customHeight="1"/>
    <row r="14" spans="1:5" ht="15.75" customHeight="1"/>
    <row r="15" spans="1:5" ht="15.75" customHeight="1"/>
    <row r="16" spans="1:5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.31496062000000002" footer="0.3149606200000000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27326E"/>
    <outlinePr summaryBelow="0" summaryRight="0"/>
  </sheetPr>
  <dimension ref="A1:D1000"/>
  <sheetViews>
    <sheetView workbookViewId="0">
      <pane ySplit="1" topLeftCell="A2" activePane="bottomLeft" state="frozen"/>
      <selection pane="bottomLeft" activeCell="O34" sqref="O34"/>
    </sheetView>
  </sheetViews>
  <sheetFormatPr defaultColWidth="12.5703125" defaultRowHeight="15" customHeight="1"/>
  <cols>
    <col min="1" max="2" width="12.5703125" customWidth="1"/>
    <col min="3" max="3" width="22" bestFit="1" customWidth="1"/>
    <col min="4" max="6" width="12.5703125" customWidth="1"/>
  </cols>
  <sheetData>
    <row r="1" spans="1:4" ht="15.75" customHeight="1">
      <c r="A1" s="1" t="s">
        <v>120</v>
      </c>
      <c r="B1" s="1" t="s">
        <v>121</v>
      </c>
      <c r="C1" s="1" t="s">
        <v>130</v>
      </c>
      <c r="D1" s="11" t="s">
        <v>123</v>
      </c>
    </row>
    <row r="2" spans="1:4" ht="15.75" customHeight="1">
      <c r="A2" s="13" t="s">
        <v>131</v>
      </c>
      <c r="B2" s="14">
        <v>2</v>
      </c>
      <c r="C2" s="17">
        <v>1</v>
      </c>
      <c r="D2" s="16">
        <f t="array" ref="D2:D8">IF(A2:A8&lt;&gt;"",B2:B8*C2:C8,"")</f>
        <v>2</v>
      </c>
    </row>
    <row r="3" spans="1:4" ht="15.75" customHeight="1">
      <c r="A3" s="13" t="s">
        <v>132</v>
      </c>
      <c r="B3" s="14">
        <v>2</v>
      </c>
      <c r="C3" s="17">
        <v>1</v>
      </c>
      <c r="D3" s="16">
        <v>2</v>
      </c>
    </row>
    <row r="4" spans="1:4" ht="15.75" customHeight="1">
      <c r="A4" s="13" t="s">
        <v>133</v>
      </c>
      <c r="B4" s="14">
        <v>1</v>
      </c>
      <c r="C4" s="17">
        <v>1</v>
      </c>
      <c r="D4" s="16">
        <v>1</v>
      </c>
    </row>
    <row r="5" spans="1:4" ht="15.75" customHeight="1">
      <c r="A5" s="13" t="s">
        <v>134</v>
      </c>
      <c r="B5" s="14">
        <v>1</v>
      </c>
      <c r="C5" s="17">
        <v>1</v>
      </c>
      <c r="D5" s="16">
        <v>1</v>
      </c>
    </row>
    <row r="6" spans="1:4" ht="15.75" customHeight="1">
      <c r="A6" s="2" t="s">
        <v>135</v>
      </c>
      <c r="B6" s="14">
        <v>1</v>
      </c>
      <c r="C6" s="2">
        <v>1</v>
      </c>
      <c r="D6" s="16">
        <v>1</v>
      </c>
    </row>
    <row r="7" spans="1:4" ht="15.75" customHeight="1">
      <c r="A7" s="2" t="s">
        <v>136</v>
      </c>
      <c r="B7" s="14">
        <v>1</v>
      </c>
      <c r="C7" s="2">
        <v>1</v>
      </c>
      <c r="D7" s="16">
        <v>1</v>
      </c>
    </row>
    <row r="8" spans="1:4" ht="15.75" customHeight="1">
      <c r="A8" s="2" t="s">
        <v>137</v>
      </c>
      <c r="B8" s="14">
        <v>1</v>
      </c>
      <c r="C8" s="2">
        <v>1</v>
      </c>
      <c r="D8" s="16">
        <v>1</v>
      </c>
    </row>
    <row r="9" spans="1:4" ht="15.75" customHeight="1"/>
    <row r="10" spans="1:4" ht="15.75" customHeight="1"/>
    <row r="11" spans="1:4" ht="15.75" customHeight="1"/>
    <row r="12" spans="1:4" ht="15.75" customHeight="1"/>
    <row r="13" spans="1:4" ht="15.75" customHeight="1"/>
    <row r="14" spans="1:4" ht="15.75" customHeight="1"/>
    <row r="15" spans="1:4" ht="15.75" customHeight="1"/>
    <row r="16" spans="1:4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511811024" right="0.511811024" top="0.78740157499999996" bottom="0.78740157499999996" header="0.31496062000000002" footer="0.3149606200000000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>
    <tabColor rgb="FF27326E"/>
    <outlinePr summaryBelow="0" summaryRight="0"/>
  </sheetPr>
  <dimension ref="A1:T982"/>
  <sheetViews>
    <sheetView zoomScale="115" zoomScaleNormal="115" workbookViewId="0">
      <pane xSplit="1" ySplit="1" topLeftCell="I2" activePane="bottomRight" state="frozen"/>
      <selection pane="topRight" activeCell="B1" sqref="B1"/>
      <selection pane="bottomLeft" activeCell="A2" sqref="A2"/>
      <selection pane="bottomRight" activeCell="N3" sqref="N3"/>
    </sheetView>
  </sheetViews>
  <sheetFormatPr defaultColWidth="12.5703125" defaultRowHeight="15" customHeight="1"/>
  <cols>
    <col min="1" max="1" width="9.28515625" customWidth="1"/>
    <col min="2" max="2" width="15.140625" customWidth="1"/>
    <col min="3" max="5" width="12.5703125" customWidth="1"/>
    <col min="6" max="6" width="18.5703125" customWidth="1"/>
    <col min="7" max="7" width="15.28515625" customWidth="1"/>
    <col min="8" max="8" width="14.140625" bestFit="1" customWidth="1"/>
    <col min="9" max="9" width="12.140625" customWidth="1"/>
    <col min="10" max="10" width="19.5703125" customWidth="1"/>
    <col min="11" max="11" width="17.42578125" customWidth="1"/>
    <col min="12" max="12" width="23.42578125" customWidth="1"/>
    <col min="13" max="13" width="21.42578125" customWidth="1"/>
    <col min="14" max="14" width="14.42578125" customWidth="1"/>
    <col min="15" max="15" width="17.28515625" customWidth="1"/>
    <col min="16" max="16" width="19.28515625" customWidth="1"/>
    <col min="17" max="17" width="17.5703125" customWidth="1"/>
    <col min="18" max="18" width="19.140625" customWidth="1"/>
    <col min="19" max="19" width="2.140625" customWidth="1"/>
    <col min="20" max="20" width="15.5703125" bestFit="1" customWidth="1"/>
  </cols>
  <sheetData>
    <row r="1" spans="1:20" ht="15.75" customHeight="1">
      <c r="A1" s="2" t="s">
        <v>138</v>
      </c>
      <c r="B1" s="2" t="s">
        <v>139</v>
      </c>
      <c r="C1" s="2" t="s">
        <v>140</v>
      </c>
      <c r="D1" s="2" t="s">
        <v>141</v>
      </c>
      <c r="E1" s="2" t="s">
        <v>142</v>
      </c>
      <c r="F1" s="2" t="s">
        <v>143</v>
      </c>
      <c r="G1" s="2" t="s">
        <v>144</v>
      </c>
      <c r="H1" s="2" t="s">
        <v>145</v>
      </c>
      <c r="I1" s="2" t="s">
        <v>146</v>
      </c>
      <c r="J1" s="2" t="s">
        <v>147</v>
      </c>
      <c r="K1" s="2" t="s">
        <v>148</v>
      </c>
      <c r="L1" s="18" t="s">
        <v>160</v>
      </c>
      <c r="M1" s="18" t="s">
        <v>161</v>
      </c>
      <c r="N1" s="2" t="s">
        <v>149</v>
      </c>
      <c r="O1" s="2" t="s">
        <v>150</v>
      </c>
      <c r="P1" s="2" t="s">
        <v>151</v>
      </c>
      <c r="Q1" s="2" t="s">
        <v>152</v>
      </c>
      <c r="R1" s="2" t="s">
        <v>153</v>
      </c>
    </row>
    <row r="2" spans="1:20" ht="15.75" customHeight="1" thickBot="1">
      <c r="A2" s="2" t="s">
        <v>2</v>
      </c>
      <c r="B2" s="2" t="s">
        <v>154</v>
      </c>
      <c r="C2" s="2" t="s">
        <v>95</v>
      </c>
      <c r="D2" s="2" t="s">
        <v>155</v>
      </c>
      <c r="E2" s="2" t="s">
        <v>156</v>
      </c>
      <c r="F2" s="2">
        <v>0</v>
      </c>
      <c r="G2" s="2">
        <v>1</v>
      </c>
      <c r="H2" s="2">
        <v>0</v>
      </c>
      <c r="I2" s="2">
        <v>0</v>
      </c>
      <c r="J2" s="2">
        <v>1</v>
      </c>
      <c r="K2" s="2">
        <v>0</v>
      </c>
      <c r="L2" s="2">
        <f t="shared" ref="L2:L21" si="0">F2+J2</f>
        <v>1</v>
      </c>
      <c r="M2" s="2">
        <f t="shared" ref="M2:M21" si="1">G2+H2+I2+K2</f>
        <v>1</v>
      </c>
      <c r="N2" s="2">
        <v>4</v>
      </c>
      <c r="O2" s="2">
        <v>1</v>
      </c>
      <c r="P2" s="2">
        <v>1</v>
      </c>
      <c r="Q2" s="2">
        <v>0</v>
      </c>
      <c r="R2" s="2">
        <v>3</v>
      </c>
      <c r="T2" s="52" t="s">
        <v>167</v>
      </c>
    </row>
    <row r="3" spans="1:20" ht="15.75" customHeight="1" thickBot="1">
      <c r="A3" s="2" t="s">
        <v>3</v>
      </c>
      <c r="B3" s="2" t="s">
        <v>154</v>
      </c>
      <c r="C3" s="2" t="s">
        <v>95</v>
      </c>
      <c r="D3" s="2" t="s">
        <v>155</v>
      </c>
      <c r="E3" s="2" t="s">
        <v>156</v>
      </c>
      <c r="F3" s="2">
        <v>1</v>
      </c>
      <c r="G3" s="2">
        <v>1</v>
      </c>
      <c r="H3" s="2">
        <v>0</v>
      </c>
      <c r="I3" s="2">
        <v>0</v>
      </c>
      <c r="J3" s="2">
        <v>0</v>
      </c>
      <c r="K3" s="2">
        <v>0</v>
      </c>
      <c r="L3" s="2">
        <f t="shared" si="0"/>
        <v>1</v>
      </c>
      <c r="M3" s="2">
        <f t="shared" si="1"/>
        <v>1</v>
      </c>
      <c r="N3" s="2">
        <v>4</v>
      </c>
      <c r="O3" s="2">
        <v>1</v>
      </c>
      <c r="P3" s="2">
        <v>1</v>
      </c>
      <c r="Q3" s="2">
        <v>0</v>
      </c>
      <c r="R3" s="2">
        <v>3</v>
      </c>
      <c r="T3" s="50" t="s">
        <v>162</v>
      </c>
    </row>
    <row r="4" spans="1:20" ht="15.75" customHeight="1" thickBot="1">
      <c r="A4" s="2" t="s">
        <v>4</v>
      </c>
      <c r="B4" s="2" t="s">
        <v>154</v>
      </c>
      <c r="C4" s="2" t="s">
        <v>95</v>
      </c>
      <c r="D4" s="2" t="s">
        <v>155</v>
      </c>
      <c r="E4" s="2" t="s">
        <v>156</v>
      </c>
      <c r="F4" s="2">
        <v>0</v>
      </c>
      <c r="G4" s="2">
        <v>1</v>
      </c>
      <c r="H4" s="2">
        <v>0</v>
      </c>
      <c r="I4" s="2">
        <v>0</v>
      </c>
      <c r="J4" s="2">
        <v>1</v>
      </c>
      <c r="K4" s="2">
        <v>0</v>
      </c>
      <c r="L4" s="2">
        <f t="shared" si="0"/>
        <v>1</v>
      </c>
      <c r="M4" s="2">
        <f t="shared" si="1"/>
        <v>1</v>
      </c>
      <c r="N4" s="2">
        <v>4</v>
      </c>
      <c r="O4" s="2">
        <v>1</v>
      </c>
      <c r="P4" s="2">
        <v>1</v>
      </c>
      <c r="Q4" s="2">
        <v>0</v>
      </c>
      <c r="R4" s="2">
        <v>3</v>
      </c>
      <c r="T4" s="51" t="s">
        <v>163</v>
      </c>
    </row>
    <row r="5" spans="1:20" ht="15.75" customHeight="1">
      <c r="A5" s="2" t="s">
        <v>5</v>
      </c>
      <c r="B5" s="2" t="s">
        <v>154</v>
      </c>
      <c r="C5" s="2" t="s">
        <v>95</v>
      </c>
      <c r="D5" s="2" t="s">
        <v>155</v>
      </c>
      <c r="E5" s="2" t="s">
        <v>156</v>
      </c>
      <c r="F5" s="2">
        <v>0</v>
      </c>
      <c r="G5" s="2">
        <v>0</v>
      </c>
      <c r="H5" s="2">
        <v>1</v>
      </c>
      <c r="I5" s="2">
        <v>0</v>
      </c>
      <c r="J5" s="2">
        <v>1</v>
      </c>
      <c r="K5" s="2">
        <v>0</v>
      </c>
      <c r="L5" s="2">
        <f t="shared" si="0"/>
        <v>1</v>
      </c>
      <c r="M5" s="2">
        <f t="shared" si="1"/>
        <v>1</v>
      </c>
      <c r="N5" s="2">
        <v>2</v>
      </c>
      <c r="O5" s="2">
        <v>1</v>
      </c>
      <c r="P5" s="2">
        <v>1</v>
      </c>
      <c r="Q5" s="2">
        <v>0</v>
      </c>
      <c r="R5" s="2">
        <v>3</v>
      </c>
    </row>
    <row r="6" spans="1:20" ht="15.75" customHeight="1">
      <c r="A6" s="2" t="s">
        <v>6</v>
      </c>
      <c r="B6" s="2" t="s">
        <v>154</v>
      </c>
      <c r="C6" s="2" t="s">
        <v>95</v>
      </c>
      <c r="D6" s="2" t="s">
        <v>155</v>
      </c>
      <c r="E6" s="2" t="s">
        <v>156</v>
      </c>
      <c r="F6" s="2">
        <v>0</v>
      </c>
      <c r="G6" s="2">
        <v>1</v>
      </c>
      <c r="H6" s="2">
        <v>0</v>
      </c>
      <c r="I6" s="2">
        <v>0</v>
      </c>
      <c r="J6" s="2">
        <v>1</v>
      </c>
      <c r="K6" s="2">
        <v>0</v>
      </c>
      <c r="L6" s="2">
        <f t="shared" si="0"/>
        <v>1</v>
      </c>
      <c r="M6" s="2">
        <f t="shared" si="1"/>
        <v>1</v>
      </c>
      <c r="N6" s="2">
        <v>4</v>
      </c>
      <c r="O6" s="2">
        <v>1</v>
      </c>
      <c r="P6" s="2">
        <v>1</v>
      </c>
      <c r="Q6" s="2">
        <v>0</v>
      </c>
      <c r="R6" s="2">
        <v>3</v>
      </c>
    </row>
    <row r="7" spans="1:20" ht="15.75" customHeight="1">
      <c r="A7" s="2" t="s">
        <v>7</v>
      </c>
      <c r="B7" s="2" t="s">
        <v>154</v>
      </c>
      <c r="C7" s="2" t="s">
        <v>95</v>
      </c>
      <c r="D7" s="2" t="s">
        <v>155</v>
      </c>
      <c r="E7" s="2" t="s">
        <v>156</v>
      </c>
      <c r="F7" s="2">
        <v>0</v>
      </c>
      <c r="G7" s="2">
        <v>1</v>
      </c>
      <c r="H7" s="2">
        <v>0</v>
      </c>
      <c r="I7" s="2">
        <v>0</v>
      </c>
      <c r="J7" s="2">
        <v>1</v>
      </c>
      <c r="K7" s="2">
        <v>0</v>
      </c>
      <c r="L7" s="2">
        <f t="shared" si="0"/>
        <v>1</v>
      </c>
      <c r="M7" s="2">
        <f t="shared" si="1"/>
        <v>1</v>
      </c>
      <c r="N7" s="2">
        <v>4</v>
      </c>
      <c r="O7" s="2">
        <v>1</v>
      </c>
      <c r="P7" s="2">
        <v>1</v>
      </c>
      <c r="Q7" s="2">
        <v>0</v>
      </c>
      <c r="R7" s="2">
        <v>3</v>
      </c>
    </row>
    <row r="8" spans="1:20" ht="15.75" customHeight="1">
      <c r="A8" s="2" t="s">
        <v>10</v>
      </c>
      <c r="B8" s="2" t="s">
        <v>154</v>
      </c>
      <c r="C8" s="2" t="s">
        <v>95</v>
      </c>
      <c r="D8" s="2" t="s">
        <v>155</v>
      </c>
      <c r="E8" s="2" t="s">
        <v>156</v>
      </c>
      <c r="F8" s="2">
        <v>0</v>
      </c>
      <c r="G8" s="2">
        <v>1</v>
      </c>
      <c r="H8" s="2">
        <v>0</v>
      </c>
      <c r="I8" s="2">
        <v>0</v>
      </c>
      <c r="J8" s="2">
        <v>1</v>
      </c>
      <c r="K8" s="2">
        <v>0</v>
      </c>
      <c r="L8" s="2">
        <f t="shared" si="0"/>
        <v>1</v>
      </c>
      <c r="M8" s="2">
        <f t="shared" si="1"/>
        <v>1</v>
      </c>
      <c r="N8" s="2">
        <v>4</v>
      </c>
      <c r="O8" s="2">
        <v>1</v>
      </c>
      <c r="P8" s="2">
        <v>1</v>
      </c>
      <c r="Q8" s="2">
        <v>0</v>
      </c>
      <c r="R8" s="2">
        <v>3</v>
      </c>
    </row>
    <row r="9" spans="1:20" ht="15.75" customHeight="1">
      <c r="A9" s="2" t="s">
        <v>15</v>
      </c>
      <c r="B9" s="2" t="s">
        <v>154</v>
      </c>
      <c r="C9" s="2" t="s">
        <v>95</v>
      </c>
      <c r="D9" s="2" t="s">
        <v>155</v>
      </c>
      <c r="E9" s="2" t="s">
        <v>156</v>
      </c>
      <c r="F9" s="2">
        <v>0</v>
      </c>
      <c r="G9" s="2">
        <v>0</v>
      </c>
      <c r="H9" s="2">
        <v>1</v>
      </c>
      <c r="I9" s="2">
        <v>0</v>
      </c>
      <c r="J9" s="2">
        <v>0</v>
      </c>
      <c r="K9" s="2">
        <v>0</v>
      </c>
      <c r="L9" s="2">
        <f t="shared" si="0"/>
        <v>0</v>
      </c>
      <c r="M9" s="2">
        <f t="shared" si="1"/>
        <v>1</v>
      </c>
      <c r="N9" s="2">
        <v>0</v>
      </c>
      <c r="O9" s="2">
        <v>1</v>
      </c>
      <c r="P9" s="2">
        <v>1</v>
      </c>
      <c r="Q9" s="2">
        <v>0</v>
      </c>
      <c r="R9" s="2">
        <v>2</v>
      </c>
    </row>
    <row r="10" spans="1:20" ht="15.75" customHeight="1">
      <c r="A10" s="2" t="s">
        <v>16</v>
      </c>
      <c r="B10" s="2" t="s">
        <v>154</v>
      </c>
      <c r="C10" s="2" t="s">
        <v>95</v>
      </c>
      <c r="D10" s="2" t="s">
        <v>155</v>
      </c>
      <c r="E10" s="2" t="s">
        <v>156</v>
      </c>
      <c r="F10" s="2">
        <v>0</v>
      </c>
      <c r="G10" s="2">
        <v>1</v>
      </c>
      <c r="H10" s="2">
        <v>0</v>
      </c>
      <c r="I10" s="2">
        <v>0</v>
      </c>
      <c r="J10" s="2">
        <v>1</v>
      </c>
      <c r="K10" s="2">
        <v>0</v>
      </c>
      <c r="L10" s="2">
        <f t="shared" si="0"/>
        <v>1</v>
      </c>
      <c r="M10" s="2">
        <f t="shared" si="1"/>
        <v>1</v>
      </c>
      <c r="N10" s="2">
        <v>4</v>
      </c>
      <c r="O10" s="2">
        <v>1</v>
      </c>
      <c r="P10" s="2">
        <v>1</v>
      </c>
      <c r="Q10" s="2">
        <v>0</v>
      </c>
      <c r="R10" s="2">
        <v>3</v>
      </c>
    </row>
    <row r="11" spans="1:20" ht="15.75" customHeight="1">
      <c r="A11" s="2" t="s">
        <v>17</v>
      </c>
      <c r="B11" s="2" t="s">
        <v>154</v>
      </c>
      <c r="C11" s="2" t="s">
        <v>95</v>
      </c>
      <c r="D11" s="2" t="s">
        <v>155</v>
      </c>
      <c r="E11" s="2" t="s">
        <v>156</v>
      </c>
      <c r="F11" s="2">
        <v>0</v>
      </c>
      <c r="G11" s="2">
        <v>1</v>
      </c>
      <c r="H11" s="2">
        <v>0</v>
      </c>
      <c r="I11" s="2">
        <v>0</v>
      </c>
      <c r="J11" s="2">
        <v>1</v>
      </c>
      <c r="K11" s="2">
        <v>0</v>
      </c>
      <c r="L11" s="2">
        <f t="shared" si="0"/>
        <v>1</v>
      </c>
      <c r="M11" s="2">
        <f t="shared" si="1"/>
        <v>1</v>
      </c>
      <c r="N11" s="2">
        <v>4</v>
      </c>
      <c r="O11" s="2">
        <v>1</v>
      </c>
      <c r="P11" s="2">
        <v>1</v>
      </c>
      <c r="Q11" s="2">
        <v>0</v>
      </c>
      <c r="R11" s="2">
        <v>2</v>
      </c>
    </row>
    <row r="12" spans="1:20" ht="15.75" customHeight="1">
      <c r="A12" s="2" t="s">
        <v>19</v>
      </c>
      <c r="B12" s="2" t="s">
        <v>154</v>
      </c>
      <c r="C12" s="2" t="s">
        <v>95</v>
      </c>
      <c r="D12" s="2" t="s">
        <v>155</v>
      </c>
      <c r="E12" s="2" t="s">
        <v>156</v>
      </c>
      <c r="F12" s="2">
        <v>0</v>
      </c>
      <c r="G12" s="2">
        <v>0</v>
      </c>
      <c r="H12" s="2">
        <v>1</v>
      </c>
      <c r="I12" s="2">
        <v>0</v>
      </c>
      <c r="J12" s="2">
        <v>1</v>
      </c>
      <c r="K12" s="2">
        <v>0</v>
      </c>
      <c r="L12" s="2">
        <f t="shared" si="0"/>
        <v>1</v>
      </c>
      <c r="M12" s="2">
        <f t="shared" si="1"/>
        <v>1</v>
      </c>
      <c r="N12" s="2">
        <v>0</v>
      </c>
      <c r="O12" s="2">
        <v>1</v>
      </c>
      <c r="P12" s="2">
        <v>1</v>
      </c>
      <c r="Q12" s="2">
        <v>0</v>
      </c>
      <c r="R12" s="2">
        <v>3</v>
      </c>
    </row>
    <row r="13" spans="1:20" ht="15.75" customHeight="1">
      <c r="A13" s="2" t="s">
        <v>20</v>
      </c>
      <c r="B13" s="2" t="s">
        <v>154</v>
      </c>
      <c r="C13" s="2" t="s">
        <v>95</v>
      </c>
      <c r="D13" s="2" t="s">
        <v>155</v>
      </c>
      <c r="E13" s="2" t="s">
        <v>156</v>
      </c>
      <c r="F13" s="2">
        <v>0</v>
      </c>
      <c r="G13" s="2">
        <v>1</v>
      </c>
      <c r="H13" s="2">
        <v>0</v>
      </c>
      <c r="I13" s="2">
        <v>0</v>
      </c>
      <c r="J13" s="2">
        <v>0</v>
      </c>
      <c r="K13" s="2">
        <v>1</v>
      </c>
      <c r="L13" s="2">
        <f t="shared" si="0"/>
        <v>0</v>
      </c>
      <c r="M13" s="2">
        <f t="shared" si="1"/>
        <v>2</v>
      </c>
      <c r="N13" s="2">
        <v>4</v>
      </c>
      <c r="O13" s="2">
        <v>1</v>
      </c>
      <c r="P13" s="2">
        <v>1</v>
      </c>
      <c r="Q13" s="2">
        <v>0</v>
      </c>
      <c r="R13" s="2">
        <v>4</v>
      </c>
    </row>
    <row r="14" spans="1:20" ht="15.75" customHeight="1">
      <c r="A14" s="2" t="s">
        <v>21</v>
      </c>
      <c r="B14" s="2" t="s">
        <v>154</v>
      </c>
      <c r="C14" s="2" t="s">
        <v>95</v>
      </c>
      <c r="D14" s="2" t="s">
        <v>155</v>
      </c>
      <c r="E14" s="2" t="s">
        <v>156</v>
      </c>
      <c r="F14" s="2">
        <v>0</v>
      </c>
      <c r="G14" s="2">
        <v>1</v>
      </c>
      <c r="H14" s="2">
        <v>0</v>
      </c>
      <c r="I14" s="2">
        <v>0</v>
      </c>
      <c r="J14" s="2">
        <v>1</v>
      </c>
      <c r="K14" s="2">
        <v>0</v>
      </c>
      <c r="L14" s="2">
        <f t="shared" si="0"/>
        <v>1</v>
      </c>
      <c r="M14" s="2">
        <f t="shared" si="1"/>
        <v>1</v>
      </c>
      <c r="N14" s="2">
        <v>4</v>
      </c>
      <c r="O14" s="2">
        <v>1</v>
      </c>
      <c r="P14" s="2">
        <v>1</v>
      </c>
      <c r="Q14" s="2">
        <v>0</v>
      </c>
      <c r="R14" s="2">
        <v>3</v>
      </c>
    </row>
    <row r="15" spans="1:20" ht="15.75" customHeight="1">
      <c r="A15" s="2" t="s">
        <v>22</v>
      </c>
      <c r="B15" s="2" t="s">
        <v>154</v>
      </c>
      <c r="C15" s="2" t="s">
        <v>95</v>
      </c>
      <c r="D15" s="2" t="s">
        <v>155</v>
      </c>
      <c r="E15" s="2" t="s">
        <v>156</v>
      </c>
      <c r="F15" s="2">
        <v>1</v>
      </c>
      <c r="G15" s="2">
        <v>1</v>
      </c>
      <c r="H15" s="2">
        <v>0</v>
      </c>
      <c r="I15" s="2">
        <v>0</v>
      </c>
      <c r="J15" s="2">
        <v>0</v>
      </c>
      <c r="K15" s="2">
        <v>0</v>
      </c>
      <c r="L15" s="2">
        <f t="shared" si="0"/>
        <v>1</v>
      </c>
      <c r="M15" s="2">
        <f t="shared" si="1"/>
        <v>1</v>
      </c>
      <c r="N15" s="2">
        <v>3</v>
      </c>
      <c r="O15" s="2">
        <v>1</v>
      </c>
      <c r="P15" s="2">
        <v>1</v>
      </c>
      <c r="Q15" s="2">
        <v>0</v>
      </c>
      <c r="R15" s="2">
        <v>4</v>
      </c>
    </row>
    <row r="16" spans="1:20" ht="15.75" customHeight="1">
      <c r="A16" s="2" t="s">
        <v>24</v>
      </c>
      <c r="B16" s="2" t="s">
        <v>154</v>
      </c>
      <c r="C16" s="2" t="s">
        <v>95</v>
      </c>
      <c r="D16" s="2" t="s">
        <v>155</v>
      </c>
      <c r="E16" s="2" t="s">
        <v>156</v>
      </c>
      <c r="F16" s="2">
        <v>1</v>
      </c>
      <c r="G16" s="2">
        <v>0</v>
      </c>
      <c r="H16" s="2">
        <v>1</v>
      </c>
      <c r="I16" s="2">
        <v>0</v>
      </c>
      <c r="J16" s="2">
        <v>0</v>
      </c>
      <c r="K16" s="2">
        <v>1</v>
      </c>
      <c r="L16" s="2">
        <f t="shared" si="0"/>
        <v>1</v>
      </c>
      <c r="M16" s="2">
        <f t="shared" si="1"/>
        <v>2</v>
      </c>
      <c r="N16" s="2">
        <v>5</v>
      </c>
      <c r="O16" s="2">
        <v>1</v>
      </c>
      <c r="P16" s="2">
        <v>1</v>
      </c>
      <c r="Q16" s="2">
        <v>0</v>
      </c>
      <c r="R16" s="2">
        <v>5</v>
      </c>
    </row>
    <row r="17" spans="1:18" ht="15.75" customHeight="1">
      <c r="A17" s="2" t="s">
        <v>25</v>
      </c>
      <c r="B17" s="2" t="s">
        <v>154</v>
      </c>
      <c r="C17" s="2" t="s">
        <v>95</v>
      </c>
      <c r="D17" s="2" t="s">
        <v>155</v>
      </c>
      <c r="E17" s="2" t="s">
        <v>156</v>
      </c>
      <c r="F17" s="2">
        <v>1</v>
      </c>
      <c r="G17" s="2">
        <v>0</v>
      </c>
      <c r="H17" s="2">
        <v>1</v>
      </c>
      <c r="I17" s="2">
        <v>0</v>
      </c>
      <c r="J17" s="2">
        <v>1</v>
      </c>
      <c r="K17" s="2">
        <v>0</v>
      </c>
      <c r="L17" s="2">
        <f t="shared" si="0"/>
        <v>2</v>
      </c>
      <c r="M17" s="2">
        <f t="shared" si="1"/>
        <v>1</v>
      </c>
      <c r="N17" s="2">
        <v>3</v>
      </c>
      <c r="O17" s="2">
        <v>1</v>
      </c>
      <c r="P17" s="2">
        <v>1</v>
      </c>
      <c r="Q17" s="2">
        <v>0</v>
      </c>
      <c r="R17" s="2">
        <v>3</v>
      </c>
    </row>
    <row r="18" spans="1:18" ht="15.75" customHeight="1">
      <c r="A18" s="2" t="s">
        <v>26</v>
      </c>
      <c r="B18" s="2" t="s">
        <v>154</v>
      </c>
      <c r="C18" s="2" t="s">
        <v>95</v>
      </c>
      <c r="D18" s="2" t="s">
        <v>155</v>
      </c>
      <c r="E18" s="2" t="s">
        <v>156</v>
      </c>
      <c r="F18" s="2">
        <v>1</v>
      </c>
      <c r="G18" s="2">
        <v>1</v>
      </c>
      <c r="H18" s="2">
        <v>0</v>
      </c>
      <c r="I18" s="2">
        <v>0</v>
      </c>
      <c r="J18" s="2">
        <v>1</v>
      </c>
      <c r="K18" s="2">
        <v>0</v>
      </c>
      <c r="L18" s="2">
        <f t="shared" si="0"/>
        <v>2</v>
      </c>
      <c r="M18" s="2">
        <f t="shared" si="1"/>
        <v>1</v>
      </c>
      <c r="N18" s="2">
        <v>5</v>
      </c>
      <c r="O18" s="2">
        <v>1</v>
      </c>
      <c r="P18" s="2">
        <v>1</v>
      </c>
      <c r="Q18" s="2">
        <v>0</v>
      </c>
      <c r="R18" s="2">
        <v>5</v>
      </c>
    </row>
    <row r="19" spans="1:18" ht="15.75" customHeight="1">
      <c r="A19" s="2" t="s">
        <v>27</v>
      </c>
      <c r="B19" s="2" t="s">
        <v>154</v>
      </c>
      <c r="C19" s="2" t="s">
        <v>95</v>
      </c>
      <c r="D19" s="2" t="s">
        <v>155</v>
      </c>
      <c r="E19" s="2" t="s">
        <v>156</v>
      </c>
      <c r="F19" s="2">
        <v>1</v>
      </c>
      <c r="G19" s="2">
        <v>0</v>
      </c>
      <c r="H19" s="2">
        <v>1</v>
      </c>
      <c r="I19" s="2">
        <v>0</v>
      </c>
      <c r="J19" s="2">
        <v>1</v>
      </c>
      <c r="K19" s="2">
        <v>0</v>
      </c>
      <c r="L19" s="2">
        <f t="shared" si="0"/>
        <v>2</v>
      </c>
      <c r="M19" s="2">
        <f t="shared" si="1"/>
        <v>1</v>
      </c>
      <c r="N19" s="2">
        <v>3</v>
      </c>
      <c r="O19" s="2">
        <v>1</v>
      </c>
      <c r="P19" s="2">
        <v>1</v>
      </c>
      <c r="Q19" s="2">
        <v>0</v>
      </c>
      <c r="R19" s="2">
        <v>3</v>
      </c>
    </row>
    <row r="20" spans="1:18" ht="15.75" customHeight="1">
      <c r="A20" s="2" t="s">
        <v>28</v>
      </c>
      <c r="B20" s="2" t="s">
        <v>154</v>
      </c>
      <c r="C20" s="2" t="s">
        <v>95</v>
      </c>
      <c r="D20" s="2" t="s">
        <v>155</v>
      </c>
      <c r="E20" s="2" t="s">
        <v>156</v>
      </c>
      <c r="F20" s="2">
        <v>1</v>
      </c>
      <c r="G20" s="2">
        <v>0</v>
      </c>
      <c r="H20" s="2">
        <v>1</v>
      </c>
      <c r="I20" s="2">
        <v>0</v>
      </c>
      <c r="J20" s="2">
        <v>0</v>
      </c>
      <c r="K20" s="2">
        <v>0</v>
      </c>
      <c r="L20" s="2">
        <f t="shared" si="0"/>
        <v>1</v>
      </c>
      <c r="M20" s="2">
        <f t="shared" si="1"/>
        <v>1</v>
      </c>
      <c r="N20" s="2">
        <v>5</v>
      </c>
      <c r="O20" s="2">
        <v>1</v>
      </c>
      <c r="P20" s="2">
        <v>1</v>
      </c>
      <c r="Q20" s="2">
        <v>0</v>
      </c>
      <c r="R20" s="2">
        <v>5</v>
      </c>
    </row>
    <row r="21" spans="1:18" ht="15.75" customHeight="1">
      <c r="A21" s="2" t="s">
        <v>29</v>
      </c>
      <c r="B21" s="2" t="s">
        <v>154</v>
      </c>
      <c r="C21" s="2" t="s">
        <v>95</v>
      </c>
      <c r="D21" s="2" t="s">
        <v>155</v>
      </c>
      <c r="E21" s="2" t="s">
        <v>156</v>
      </c>
      <c r="F21" s="2">
        <v>1</v>
      </c>
      <c r="G21" s="2">
        <v>0</v>
      </c>
      <c r="H21" s="2">
        <v>1</v>
      </c>
      <c r="I21" s="2">
        <v>0</v>
      </c>
      <c r="J21" s="2">
        <v>0</v>
      </c>
      <c r="K21" s="2">
        <v>1</v>
      </c>
      <c r="L21" s="2">
        <f t="shared" si="0"/>
        <v>1</v>
      </c>
      <c r="M21" s="2">
        <f t="shared" si="1"/>
        <v>2</v>
      </c>
      <c r="N21" s="2">
        <v>5</v>
      </c>
      <c r="O21" s="2">
        <v>1</v>
      </c>
      <c r="P21" s="2">
        <v>1</v>
      </c>
      <c r="Q21" s="2">
        <v>0</v>
      </c>
      <c r="R21" s="2">
        <v>5</v>
      </c>
    </row>
    <row r="22" spans="1:18" ht="15.75" customHeight="1"/>
    <row r="23" spans="1:18" ht="15.75" customHeight="1"/>
    <row r="24" spans="1:18" ht="15.75" customHeight="1"/>
    <row r="25" spans="1:18" ht="15.75" customHeight="1"/>
    <row r="26" spans="1:18" ht="15.75" customHeight="1"/>
    <row r="27" spans="1:18" ht="15.75" customHeight="1"/>
    <row r="28" spans="1:18" ht="15.75" customHeight="1"/>
    <row r="29" spans="1:18" ht="15.75" customHeight="1"/>
    <row r="30" spans="1:18" ht="15.75" customHeight="1"/>
    <row r="31" spans="1:18" ht="15.75" customHeight="1"/>
    <row r="32" spans="1:1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</sheetData>
  <customSheetViews>
    <customSheetView guid="{D759690A-A0D8-44E5-A136-45926EDE3DE1}" filter="1" showAutoFilter="1">
      <pageMargins left="0.511811024" right="0.511811024" top="0.78740157499999996" bottom="0.78740157499999996" header="0.31496062000000002" footer="0.31496062000000002"/>
      <autoFilter ref="A1:P21" xr:uid="{461305AE-31DC-46EC-966E-D17C91BB2D7C}"/>
      <extLst>
        <ext uri="GoogleSheetsCustomDataVersion1">
          <go:sheetsCustomData xmlns:go="http://customooxmlschemas.google.com/" filterViewId="1021752514"/>
        </ext>
      </extLst>
    </customSheetView>
    <customSheetView guid="{FCB22770-5D50-47F2-A739-097820F08890}" filter="1" showAutoFilter="1">
      <pageMargins left="0.511811024" right="0.511811024" top="0.78740157499999996" bottom="0.78740157499999996" header="0.31496062000000002" footer="0.31496062000000002"/>
      <autoFilter ref="A1:P21" xr:uid="{6B006696-CC14-4B13-8F1C-9D9A01CA766E}"/>
      <extLst>
        <ext uri="GoogleSheetsCustomDataVersion1">
          <go:sheetsCustomData xmlns:go="http://customooxmlschemas.google.com/" filterViewId="1311461637"/>
        </ext>
      </extLst>
    </customSheetView>
  </customSheetViews>
  <conditionalFormatting sqref="N2:N21">
    <cfRule type="expression" dxfId="93" priority="3">
      <formula>N2&gt;R2</formula>
    </cfRule>
    <cfRule type="expression" dxfId="92" priority="4">
      <formula>N2&lt;R2</formula>
    </cfRule>
  </conditionalFormatting>
  <conditionalFormatting sqref="R2:R21">
    <cfRule type="expression" dxfId="91" priority="1">
      <formula>R2&gt;L2+M2*2</formula>
    </cfRule>
    <cfRule type="expression" dxfId="90" priority="2">
      <formula>R2&lt;L2+M2*2</formula>
    </cfRule>
  </conditionalFormatting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rgb="FF27326E"/>
    <outlinePr summaryBelow="0" summaryRight="0"/>
  </sheetPr>
  <dimension ref="A1:AF981"/>
  <sheetViews>
    <sheetView zoomScale="115" zoomScaleNormal="115"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A22" sqref="A22:XFD24"/>
    </sheetView>
  </sheetViews>
  <sheetFormatPr defaultColWidth="12.5703125" defaultRowHeight="15" customHeight="1"/>
  <cols>
    <col min="1" max="1" width="8" bestFit="1" customWidth="1"/>
    <col min="2" max="2" width="15.85546875" customWidth="1"/>
    <col min="3" max="3" width="11.42578125" customWidth="1"/>
    <col min="4" max="4" width="7.42578125" customWidth="1"/>
    <col min="5" max="5" width="8.28515625" customWidth="1"/>
    <col min="6" max="6" width="17.28515625" customWidth="1"/>
    <col min="7" max="7" width="16.5703125" customWidth="1"/>
    <col min="8" max="8" width="23.7109375" customWidth="1"/>
    <col min="9" max="9" width="18.5703125" customWidth="1"/>
    <col min="10" max="10" width="16" customWidth="1"/>
    <col min="11" max="11" width="14.140625" customWidth="1"/>
    <col min="12" max="12" width="19.140625" customWidth="1"/>
    <col min="13" max="13" width="16.5703125" customWidth="1"/>
    <col min="14" max="14" width="19.7109375" customWidth="1"/>
    <col min="15" max="15" width="17.85546875" customWidth="1"/>
    <col min="16" max="16" width="14.5703125" customWidth="1"/>
    <col min="17" max="17" width="9.5703125" customWidth="1"/>
    <col min="18" max="18" width="18.5703125" customWidth="1"/>
    <col min="19" max="19" width="21.7109375" customWidth="1"/>
    <col min="20" max="20" width="19.85546875" customWidth="1"/>
    <col min="21" max="21" width="16.5703125" customWidth="1"/>
    <col min="22" max="22" width="16.7109375" customWidth="1"/>
    <col min="23" max="23" width="19.85546875" customWidth="1"/>
    <col min="24" max="24" width="14.7109375" customWidth="1"/>
    <col min="25" max="25" width="21.42578125" customWidth="1"/>
    <col min="26" max="26" width="23.85546875" customWidth="1"/>
    <col min="27" max="27" width="27" customWidth="1"/>
    <col min="28" max="28" width="25.140625" customWidth="1"/>
    <col min="29" max="29" width="21.85546875" customWidth="1"/>
    <col min="30" max="30" width="3.85546875" customWidth="1"/>
    <col min="31" max="31" width="17.42578125" bestFit="1" customWidth="1"/>
  </cols>
  <sheetData>
    <row r="1" spans="1:32" ht="15.75" customHeight="1">
      <c r="A1" s="2" t="s">
        <v>138</v>
      </c>
      <c r="B1" s="2" t="s">
        <v>139</v>
      </c>
      <c r="C1" s="2" t="s">
        <v>140</v>
      </c>
      <c r="D1" s="2" t="s">
        <v>141</v>
      </c>
      <c r="E1" s="2" t="s">
        <v>142</v>
      </c>
      <c r="F1" s="19" t="s">
        <v>33</v>
      </c>
      <c r="G1" s="2" t="s">
        <v>34</v>
      </c>
      <c r="H1" s="2" t="s">
        <v>53</v>
      </c>
      <c r="I1" s="2" t="s">
        <v>35</v>
      </c>
      <c r="J1" s="2" t="s">
        <v>51</v>
      </c>
      <c r="K1" s="2" t="s">
        <v>52</v>
      </c>
      <c r="L1" s="2" t="s">
        <v>41</v>
      </c>
      <c r="M1" s="2" t="s">
        <v>37</v>
      </c>
      <c r="N1" s="18" t="s">
        <v>39</v>
      </c>
      <c r="O1" s="2" t="s">
        <v>40</v>
      </c>
      <c r="P1" s="2" t="s">
        <v>38</v>
      </c>
      <c r="Q1" s="2" t="s">
        <v>36</v>
      </c>
      <c r="R1" s="2" t="s">
        <v>42</v>
      </c>
      <c r="S1" s="2" t="s">
        <v>44</v>
      </c>
      <c r="T1" s="2" t="s">
        <v>45</v>
      </c>
      <c r="U1" s="2" t="s">
        <v>43</v>
      </c>
      <c r="V1" s="2" t="s">
        <v>157</v>
      </c>
      <c r="W1" s="2" t="s">
        <v>158</v>
      </c>
      <c r="X1" s="2" t="s">
        <v>159</v>
      </c>
      <c r="Y1" s="2" t="s">
        <v>50</v>
      </c>
      <c r="Z1" s="2" t="s">
        <v>46</v>
      </c>
      <c r="AA1" s="2" t="s">
        <v>48</v>
      </c>
      <c r="AB1" s="2" t="s">
        <v>49</v>
      </c>
      <c r="AC1" s="2" t="s">
        <v>47</v>
      </c>
    </row>
    <row r="2" spans="1:32" ht="15.75" customHeight="1">
      <c r="A2" s="2" t="s">
        <v>2</v>
      </c>
      <c r="B2" s="2" t="s">
        <v>154</v>
      </c>
      <c r="C2" s="2" t="s">
        <v>95</v>
      </c>
      <c r="D2" s="2" t="s">
        <v>155</v>
      </c>
      <c r="E2" s="2" t="s">
        <v>156</v>
      </c>
      <c r="F2" s="2">
        <v>2</v>
      </c>
      <c r="G2" s="2">
        <v>2</v>
      </c>
      <c r="H2" s="2">
        <v>0</v>
      </c>
      <c r="I2" s="2">
        <v>7</v>
      </c>
      <c r="J2" s="2">
        <v>0</v>
      </c>
      <c r="K2" s="2">
        <v>0</v>
      </c>
      <c r="L2" s="2">
        <v>1</v>
      </c>
      <c r="M2" s="2">
        <v>2</v>
      </c>
      <c r="N2" s="2">
        <v>0</v>
      </c>
      <c r="O2" s="2">
        <v>0</v>
      </c>
      <c r="P2" s="2">
        <v>6</v>
      </c>
      <c r="Q2" s="2">
        <v>7</v>
      </c>
      <c r="R2" s="2">
        <v>0</v>
      </c>
      <c r="S2" s="2">
        <v>0</v>
      </c>
      <c r="T2" s="2">
        <v>0</v>
      </c>
      <c r="U2" s="2">
        <v>3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3</v>
      </c>
    </row>
    <row r="3" spans="1:32" ht="15.75" customHeight="1" thickBot="1">
      <c r="A3" s="2" t="s">
        <v>3</v>
      </c>
      <c r="B3" s="2" t="s">
        <v>154</v>
      </c>
      <c r="C3" s="2" t="s">
        <v>95</v>
      </c>
      <c r="D3" s="2" t="s">
        <v>155</v>
      </c>
      <c r="E3" s="2" t="s">
        <v>156</v>
      </c>
      <c r="F3" s="2">
        <v>1</v>
      </c>
      <c r="G3" s="2">
        <v>1</v>
      </c>
      <c r="H3" s="2">
        <v>0</v>
      </c>
      <c r="I3" s="2">
        <v>4</v>
      </c>
      <c r="J3" s="2">
        <v>0</v>
      </c>
      <c r="K3" s="2">
        <v>0</v>
      </c>
      <c r="L3" s="2">
        <v>0</v>
      </c>
      <c r="M3" s="2">
        <v>0</v>
      </c>
      <c r="N3" s="2">
        <v>4</v>
      </c>
      <c r="O3" s="2">
        <v>0</v>
      </c>
      <c r="P3" s="2">
        <v>0</v>
      </c>
      <c r="Q3" s="2">
        <v>4</v>
      </c>
      <c r="R3" s="2">
        <v>0</v>
      </c>
      <c r="S3" s="2">
        <v>2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2</v>
      </c>
      <c r="AB3" s="2">
        <v>0</v>
      </c>
      <c r="AC3" s="2">
        <v>0</v>
      </c>
      <c r="AE3" s="27" t="s">
        <v>194</v>
      </c>
      <c r="AF3" s="27"/>
    </row>
    <row r="4" spans="1:32" ht="15.75" customHeight="1" thickBot="1">
      <c r="A4" s="2" t="s">
        <v>4</v>
      </c>
      <c r="B4" s="2" t="s">
        <v>154</v>
      </c>
      <c r="C4" s="2" t="s">
        <v>95</v>
      </c>
      <c r="D4" s="2" t="s">
        <v>155</v>
      </c>
      <c r="E4" s="2" t="s">
        <v>156</v>
      </c>
      <c r="F4" s="2">
        <v>3</v>
      </c>
      <c r="G4" s="2">
        <v>3</v>
      </c>
      <c r="H4" s="2">
        <v>0</v>
      </c>
      <c r="I4" s="2">
        <v>5</v>
      </c>
      <c r="J4" s="2">
        <v>0</v>
      </c>
      <c r="K4" s="2">
        <v>0</v>
      </c>
      <c r="L4" s="2">
        <v>1</v>
      </c>
      <c r="M4" s="2">
        <v>2</v>
      </c>
      <c r="N4" s="2">
        <v>0</v>
      </c>
      <c r="O4" s="2">
        <v>0</v>
      </c>
      <c r="P4" s="2">
        <v>4</v>
      </c>
      <c r="Q4" s="2">
        <v>5</v>
      </c>
      <c r="R4" s="2">
        <v>0</v>
      </c>
      <c r="S4" s="2">
        <v>0</v>
      </c>
      <c r="T4" s="2">
        <v>0</v>
      </c>
      <c r="U4" s="2">
        <v>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2</v>
      </c>
      <c r="AE4" s="50" t="s">
        <v>162</v>
      </c>
    </row>
    <row r="5" spans="1:32" ht="15.75" customHeight="1" thickBot="1">
      <c r="A5" s="2" t="s">
        <v>5</v>
      </c>
      <c r="B5" s="2" t="s">
        <v>154</v>
      </c>
      <c r="C5" s="2" t="s">
        <v>95</v>
      </c>
      <c r="D5" s="2" t="s">
        <v>155</v>
      </c>
      <c r="E5" s="2" t="s">
        <v>156</v>
      </c>
      <c r="F5" s="2">
        <v>2</v>
      </c>
      <c r="G5" s="2">
        <v>2</v>
      </c>
      <c r="H5" s="2">
        <v>0</v>
      </c>
      <c r="I5" s="2">
        <v>7</v>
      </c>
      <c r="J5" s="2">
        <v>0</v>
      </c>
      <c r="K5" s="2">
        <v>0</v>
      </c>
      <c r="L5" s="2">
        <v>3</v>
      </c>
      <c r="M5" s="2">
        <v>6</v>
      </c>
      <c r="N5" s="2">
        <v>4</v>
      </c>
      <c r="O5" s="2">
        <v>0</v>
      </c>
      <c r="P5" s="2">
        <v>0</v>
      </c>
      <c r="Q5" s="2">
        <v>7</v>
      </c>
      <c r="R5" s="2">
        <v>0</v>
      </c>
      <c r="S5" s="2">
        <v>2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2</v>
      </c>
      <c r="AB5" s="2">
        <v>0</v>
      </c>
      <c r="AC5" s="2">
        <v>0</v>
      </c>
      <c r="AE5" s="51" t="s">
        <v>163</v>
      </c>
    </row>
    <row r="6" spans="1:32" ht="15.75" customHeight="1">
      <c r="A6" s="2" t="s">
        <v>6</v>
      </c>
      <c r="B6" s="2" t="s">
        <v>154</v>
      </c>
      <c r="C6" s="2" t="s">
        <v>95</v>
      </c>
      <c r="D6" s="2" t="s">
        <v>155</v>
      </c>
      <c r="E6" s="2" t="s">
        <v>156</v>
      </c>
      <c r="F6" s="2">
        <v>2</v>
      </c>
      <c r="G6" s="2">
        <v>2</v>
      </c>
      <c r="H6" s="2">
        <v>0</v>
      </c>
      <c r="I6" s="2">
        <v>7</v>
      </c>
      <c r="J6" s="2">
        <v>0</v>
      </c>
      <c r="K6" s="2">
        <v>0</v>
      </c>
      <c r="L6" s="2">
        <v>5</v>
      </c>
      <c r="M6" s="2">
        <v>10</v>
      </c>
      <c r="N6" s="2">
        <v>0</v>
      </c>
      <c r="O6" s="2">
        <v>0</v>
      </c>
      <c r="P6" s="2">
        <v>2</v>
      </c>
      <c r="Q6" s="2">
        <v>7</v>
      </c>
      <c r="R6" s="2">
        <v>0</v>
      </c>
      <c r="S6" s="2">
        <v>0</v>
      </c>
      <c r="T6" s="2">
        <v>0</v>
      </c>
      <c r="U6" s="2">
        <v>1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1</v>
      </c>
    </row>
    <row r="7" spans="1:32" ht="15.75" customHeight="1">
      <c r="A7" s="2" t="s">
        <v>7</v>
      </c>
      <c r="B7" s="2" t="s">
        <v>154</v>
      </c>
      <c r="C7" s="2" t="s">
        <v>95</v>
      </c>
      <c r="D7" s="2" t="s">
        <v>155</v>
      </c>
      <c r="E7" s="2" t="s">
        <v>156</v>
      </c>
      <c r="F7" s="2">
        <v>2</v>
      </c>
      <c r="G7" s="2">
        <v>2</v>
      </c>
      <c r="H7" s="2">
        <v>0</v>
      </c>
      <c r="I7" s="2">
        <v>5</v>
      </c>
      <c r="J7" s="2">
        <v>0</v>
      </c>
      <c r="K7" s="2">
        <v>0</v>
      </c>
      <c r="L7" s="2">
        <v>3</v>
      </c>
      <c r="M7" s="2">
        <v>6</v>
      </c>
      <c r="N7" s="2">
        <v>0</v>
      </c>
      <c r="O7" s="2">
        <v>0</v>
      </c>
      <c r="P7" s="2">
        <v>2</v>
      </c>
      <c r="Q7" s="2">
        <v>5</v>
      </c>
      <c r="R7" s="2">
        <v>0</v>
      </c>
      <c r="S7" s="2">
        <v>0</v>
      </c>
      <c r="T7" s="2">
        <v>0</v>
      </c>
      <c r="U7" s="2">
        <v>1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1</v>
      </c>
    </row>
    <row r="8" spans="1:32" ht="15.75" customHeight="1">
      <c r="A8" s="2" t="s">
        <v>10</v>
      </c>
      <c r="B8" s="2" t="s">
        <v>154</v>
      </c>
      <c r="C8" s="2" t="s">
        <v>95</v>
      </c>
      <c r="D8" s="2" t="s">
        <v>155</v>
      </c>
      <c r="E8" s="2" t="s">
        <v>156</v>
      </c>
      <c r="F8" s="2">
        <v>2</v>
      </c>
      <c r="G8" s="2">
        <v>2</v>
      </c>
      <c r="H8" s="2">
        <v>0</v>
      </c>
      <c r="I8" s="2">
        <v>6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6</v>
      </c>
      <c r="Q8" s="2">
        <v>6</v>
      </c>
      <c r="R8" s="2">
        <v>0</v>
      </c>
      <c r="S8" s="2">
        <v>0</v>
      </c>
      <c r="T8" s="2">
        <v>0</v>
      </c>
      <c r="U8" s="2">
        <v>3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3</v>
      </c>
    </row>
    <row r="9" spans="1:32" ht="15.75" customHeight="1">
      <c r="A9" s="2" t="s">
        <v>15</v>
      </c>
      <c r="B9" s="2" t="s">
        <v>154</v>
      </c>
      <c r="C9" s="2" t="s">
        <v>95</v>
      </c>
      <c r="D9" s="2" t="s">
        <v>155</v>
      </c>
      <c r="E9" s="2" t="s">
        <v>156</v>
      </c>
      <c r="F9" s="2">
        <v>1</v>
      </c>
      <c r="G9" s="2">
        <v>1</v>
      </c>
      <c r="H9" s="2">
        <v>0</v>
      </c>
      <c r="I9" s="2">
        <v>4</v>
      </c>
      <c r="J9" s="2">
        <v>0</v>
      </c>
      <c r="K9" s="2">
        <v>0</v>
      </c>
      <c r="L9" s="2">
        <v>1</v>
      </c>
      <c r="M9" s="2">
        <v>0</v>
      </c>
      <c r="N9" s="2">
        <v>2</v>
      </c>
      <c r="O9" s="2">
        <v>0</v>
      </c>
      <c r="P9" s="2">
        <v>2</v>
      </c>
      <c r="Q9" s="2">
        <v>4</v>
      </c>
      <c r="R9" s="2">
        <v>0</v>
      </c>
      <c r="S9" s="2">
        <v>1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1</v>
      </c>
      <c r="AB9" s="2">
        <v>0</v>
      </c>
      <c r="AC9" s="2">
        <v>0</v>
      </c>
    </row>
    <row r="10" spans="1:32" ht="15.75" customHeight="1">
      <c r="A10" s="2" t="s">
        <v>16</v>
      </c>
      <c r="B10" s="2" t="s">
        <v>154</v>
      </c>
      <c r="C10" s="2" t="s">
        <v>95</v>
      </c>
      <c r="D10" s="2" t="s">
        <v>155</v>
      </c>
      <c r="E10" s="2" t="s">
        <v>156</v>
      </c>
      <c r="F10" s="2">
        <v>1</v>
      </c>
      <c r="G10" s="2">
        <v>1</v>
      </c>
      <c r="H10" s="2">
        <v>0</v>
      </c>
      <c r="I10" s="2">
        <v>3</v>
      </c>
      <c r="J10" s="2">
        <v>0</v>
      </c>
      <c r="K10" s="2">
        <v>0</v>
      </c>
      <c r="L10" s="2">
        <v>1</v>
      </c>
      <c r="M10" s="2">
        <v>2</v>
      </c>
      <c r="N10" s="2">
        <v>2</v>
      </c>
      <c r="O10" s="2">
        <v>0</v>
      </c>
      <c r="P10" s="2">
        <v>0</v>
      </c>
      <c r="Q10" s="2">
        <v>3</v>
      </c>
      <c r="R10" s="2">
        <v>0</v>
      </c>
      <c r="S10" s="2">
        <v>1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1</v>
      </c>
      <c r="AB10" s="2">
        <v>0</v>
      </c>
      <c r="AC10" s="2">
        <v>0</v>
      </c>
    </row>
    <row r="11" spans="1:32" ht="15.75" customHeight="1">
      <c r="A11" s="2" t="s">
        <v>17</v>
      </c>
      <c r="B11" s="2" t="s">
        <v>154</v>
      </c>
      <c r="C11" s="2" t="s">
        <v>95</v>
      </c>
      <c r="D11" s="2" t="s">
        <v>155</v>
      </c>
      <c r="E11" s="2" t="s">
        <v>156</v>
      </c>
      <c r="F11" s="2">
        <v>1</v>
      </c>
      <c r="G11" s="2">
        <v>1</v>
      </c>
      <c r="H11" s="2">
        <v>0</v>
      </c>
      <c r="I11" s="2">
        <v>2</v>
      </c>
      <c r="J11" s="2">
        <v>0</v>
      </c>
      <c r="K11" s="2">
        <v>0</v>
      </c>
      <c r="L11" s="2">
        <v>1</v>
      </c>
      <c r="M11" s="2">
        <v>0</v>
      </c>
      <c r="N11" s="2">
        <v>0</v>
      </c>
      <c r="O11" s="2">
        <v>0</v>
      </c>
      <c r="P11" s="2">
        <v>2</v>
      </c>
      <c r="Q11" s="2">
        <v>2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1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</row>
    <row r="12" spans="1:32" ht="15.75" customHeight="1">
      <c r="A12" s="2" t="s">
        <v>19</v>
      </c>
      <c r="B12" s="2" t="s">
        <v>154</v>
      </c>
      <c r="C12" s="2" t="s">
        <v>95</v>
      </c>
      <c r="D12" s="2" t="s">
        <v>155</v>
      </c>
      <c r="E12" s="2" t="s">
        <v>156</v>
      </c>
      <c r="F12" s="2">
        <v>2</v>
      </c>
      <c r="G12" s="2">
        <v>2</v>
      </c>
      <c r="H12" s="2">
        <v>2</v>
      </c>
      <c r="I12" s="2">
        <v>4</v>
      </c>
      <c r="J12" s="2">
        <v>1</v>
      </c>
      <c r="K12" s="2">
        <v>1</v>
      </c>
      <c r="L12" s="2">
        <v>2</v>
      </c>
      <c r="M12" s="2">
        <v>0</v>
      </c>
      <c r="N12" s="2">
        <v>2</v>
      </c>
      <c r="O12" s="2">
        <v>0</v>
      </c>
      <c r="P12" s="2">
        <v>2</v>
      </c>
      <c r="Q12" s="2">
        <v>4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</row>
    <row r="13" spans="1:32" ht="15.75" customHeight="1">
      <c r="A13" s="2" t="s">
        <v>20</v>
      </c>
      <c r="B13" s="2" t="s">
        <v>154</v>
      </c>
      <c r="C13" s="2" t="s">
        <v>95</v>
      </c>
      <c r="D13" s="2" t="s">
        <v>155</v>
      </c>
      <c r="E13" s="2" t="s">
        <v>156</v>
      </c>
      <c r="F13" s="2">
        <v>2</v>
      </c>
      <c r="G13" s="2">
        <v>2</v>
      </c>
      <c r="H13" s="2">
        <v>0</v>
      </c>
      <c r="I13" s="2">
        <v>5</v>
      </c>
      <c r="J13" s="2">
        <v>0</v>
      </c>
      <c r="K13" s="2">
        <v>0</v>
      </c>
      <c r="L13" s="2">
        <v>3</v>
      </c>
      <c r="M13" s="2">
        <v>6</v>
      </c>
      <c r="N13" s="2">
        <v>2</v>
      </c>
      <c r="O13" s="2">
        <v>0</v>
      </c>
      <c r="P13" s="2">
        <v>0</v>
      </c>
      <c r="Q13" s="2">
        <v>5</v>
      </c>
      <c r="R13" s="2">
        <v>0</v>
      </c>
      <c r="S13" s="2">
        <v>1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1</v>
      </c>
      <c r="AB13" s="2">
        <v>0</v>
      </c>
      <c r="AC13" s="2">
        <v>0</v>
      </c>
    </row>
    <row r="14" spans="1:32" ht="15.75" customHeight="1">
      <c r="A14" s="2" t="s">
        <v>21</v>
      </c>
      <c r="B14" s="2" t="s">
        <v>154</v>
      </c>
      <c r="C14" s="2" t="s">
        <v>95</v>
      </c>
      <c r="D14" s="2" t="s">
        <v>155</v>
      </c>
      <c r="E14" s="2" t="s">
        <v>156</v>
      </c>
      <c r="F14" s="2">
        <v>1</v>
      </c>
      <c r="G14" s="2">
        <v>1</v>
      </c>
      <c r="H14" s="2">
        <v>0</v>
      </c>
      <c r="I14" s="2">
        <v>4</v>
      </c>
      <c r="J14" s="2">
        <v>0</v>
      </c>
      <c r="K14" s="2">
        <v>0</v>
      </c>
      <c r="L14" s="2">
        <v>2</v>
      </c>
      <c r="M14" s="2">
        <v>0</v>
      </c>
      <c r="N14" s="2">
        <v>0</v>
      </c>
      <c r="O14" s="2">
        <v>0</v>
      </c>
      <c r="P14" s="2">
        <v>4</v>
      </c>
      <c r="Q14" s="2">
        <v>4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</row>
    <row r="15" spans="1:32" ht="15.75" customHeight="1">
      <c r="A15" s="2" t="s">
        <v>22</v>
      </c>
      <c r="B15" s="2" t="s">
        <v>154</v>
      </c>
      <c r="C15" s="2" t="s">
        <v>95</v>
      </c>
      <c r="D15" s="2" t="s">
        <v>155</v>
      </c>
      <c r="E15" s="2" t="s">
        <v>156</v>
      </c>
      <c r="F15" s="2">
        <v>1</v>
      </c>
      <c r="G15" s="2">
        <v>1</v>
      </c>
      <c r="H15" s="2">
        <v>0</v>
      </c>
      <c r="I15" s="2">
        <v>4</v>
      </c>
      <c r="J15" s="2">
        <v>0</v>
      </c>
      <c r="K15" s="2">
        <v>0</v>
      </c>
      <c r="L15" s="2">
        <v>1</v>
      </c>
      <c r="M15" s="2">
        <v>0</v>
      </c>
      <c r="N15" s="2">
        <v>2</v>
      </c>
      <c r="O15" s="2">
        <v>0</v>
      </c>
      <c r="P15" s="2">
        <v>2</v>
      </c>
      <c r="Q15" s="2">
        <v>4</v>
      </c>
      <c r="R15" s="2">
        <v>0</v>
      </c>
      <c r="S15" s="2">
        <v>1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1</v>
      </c>
      <c r="AB15" s="2">
        <v>0</v>
      </c>
      <c r="AC15" s="2">
        <v>0</v>
      </c>
    </row>
    <row r="16" spans="1:32" ht="15.75" customHeight="1">
      <c r="A16" s="2" t="s">
        <v>24</v>
      </c>
      <c r="B16" s="2" t="s">
        <v>154</v>
      </c>
      <c r="C16" s="2" t="s">
        <v>95</v>
      </c>
      <c r="D16" s="2" t="s">
        <v>155</v>
      </c>
      <c r="E16" s="2" t="s">
        <v>156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</row>
    <row r="17" spans="1:29" ht="15.75" customHeight="1">
      <c r="A17" s="2" t="s">
        <v>25</v>
      </c>
      <c r="B17" s="2" t="s">
        <v>154</v>
      </c>
      <c r="C17" s="2" t="s">
        <v>95</v>
      </c>
      <c r="D17" s="2" t="s">
        <v>155</v>
      </c>
      <c r="E17" s="2" t="s">
        <v>156</v>
      </c>
      <c r="F17" s="2">
        <v>2</v>
      </c>
      <c r="G17" s="2">
        <v>2</v>
      </c>
      <c r="H17" s="2">
        <v>0</v>
      </c>
      <c r="I17" s="2">
        <v>6</v>
      </c>
      <c r="J17" s="2">
        <v>0</v>
      </c>
      <c r="K17" s="2">
        <v>0</v>
      </c>
      <c r="L17" s="2">
        <v>4</v>
      </c>
      <c r="M17" s="2">
        <v>8</v>
      </c>
      <c r="N17" s="2">
        <v>2</v>
      </c>
      <c r="O17" s="2">
        <v>0</v>
      </c>
      <c r="P17" s="2">
        <v>0</v>
      </c>
      <c r="Q17" s="2">
        <v>6</v>
      </c>
      <c r="R17" s="2">
        <v>0</v>
      </c>
      <c r="S17" s="2">
        <v>1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1</v>
      </c>
      <c r="AB17" s="2">
        <v>0</v>
      </c>
      <c r="AC17" s="2">
        <v>0</v>
      </c>
    </row>
    <row r="18" spans="1:29" ht="15.75" customHeight="1">
      <c r="A18" s="2" t="s">
        <v>26</v>
      </c>
      <c r="B18" s="2" t="s">
        <v>154</v>
      </c>
      <c r="C18" s="2" t="s">
        <v>95</v>
      </c>
      <c r="D18" s="2" t="s">
        <v>155</v>
      </c>
      <c r="E18" s="2" t="s">
        <v>156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</row>
    <row r="19" spans="1:29" ht="15.75" customHeight="1">
      <c r="A19" s="2" t="s">
        <v>27</v>
      </c>
      <c r="B19" s="2" t="s">
        <v>154</v>
      </c>
      <c r="C19" s="2" t="s">
        <v>95</v>
      </c>
      <c r="D19" s="2" t="s">
        <v>155</v>
      </c>
      <c r="E19" s="2" t="s">
        <v>156</v>
      </c>
      <c r="F19" s="2">
        <v>2</v>
      </c>
      <c r="G19" s="2">
        <v>2</v>
      </c>
      <c r="H19" s="2">
        <v>0</v>
      </c>
      <c r="I19" s="2">
        <v>7</v>
      </c>
      <c r="J19" s="2">
        <v>0</v>
      </c>
      <c r="K19" s="2">
        <v>0</v>
      </c>
      <c r="L19" s="2">
        <v>5</v>
      </c>
      <c r="M19" s="2">
        <v>10</v>
      </c>
      <c r="N19" s="2">
        <v>0</v>
      </c>
      <c r="O19" s="2">
        <v>0</v>
      </c>
      <c r="P19" s="2">
        <v>2</v>
      </c>
      <c r="Q19" s="2">
        <v>7</v>
      </c>
      <c r="R19" s="2">
        <v>0</v>
      </c>
      <c r="S19" s="2">
        <v>0</v>
      </c>
      <c r="T19" s="2">
        <v>0</v>
      </c>
      <c r="U19" s="2">
        <v>1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1</v>
      </c>
    </row>
    <row r="20" spans="1:29" ht="15.75" customHeight="1">
      <c r="A20" s="2" t="s">
        <v>28</v>
      </c>
      <c r="B20" s="2" t="s">
        <v>154</v>
      </c>
      <c r="C20" s="2" t="s">
        <v>95</v>
      </c>
      <c r="D20" s="2" t="s">
        <v>155</v>
      </c>
      <c r="E20" s="2" t="s">
        <v>156</v>
      </c>
      <c r="F20" s="2">
        <v>2</v>
      </c>
      <c r="G20" s="2">
        <v>2</v>
      </c>
      <c r="H20" s="2">
        <v>0</v>
      </c>
      <c r="I20" s="2">
        <v>6</v>
      </c>
      <c r="J20" s="2">
        <v>0</v>
      </c>
      <c r="K20" s="2">
        <v>0</v>
      </c>
      <c r="L20" s="2">
        <v>2</v>
      </c>
      <c r="M20" s="2">
        <v>4</v>
      </c>
      <c r="N20" s="2">
        <v>2</v>
      </c>
      <c r="O20" s="2">
        <v>0</v>
      </c>
      <c r="P20" s="2">
        <v>2</v>
      </c>
      <c r="Q20" s="2">
        <v>6</v>
      </c>
      <c r="R20" s="2">
        <v>0</v>
      </c>
      <c r="S20" s="2">
        <v>1</v>
      </c>
      <c r="T20" s="2">
        <v>0</v>
      </c>
      <c r="U20" s="2">
        <v>1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1</v>
      </c>
      <c r="AB20" s="2">
        <v>0</v>
      </c>
      <c r="AC20" s="2">
        <v>1</v>
      </c>
    </row>
    <row r="21" spans="1:29" ht="15.75" customHeight="1">
      <c r="A21" s="2" t="s">
        <v>29</v>
      </c>
      <c r="B21" s="2" t="s">
        <v>154</v>
      </c>
      <c r="C21" s="2" t="s">
        <v>95</v>
      </c>
      <c r="D21" s="2" t="s">
        <v>155</v>
      </c>
      <c r="E21" s="2" t="s">
        <v>156</v>
      </c>
      <c r="F21" s="2">
        <v>1</v>
      </c>
      <c r="G21" s="2">
        <v>1</v>
      </c>
      <c r="H21" s="2">
        <v>0</v>
      </c>
      <c r="I21" s="2">
        <v>3</v>
      </c>
      <c r="J21" s="2">
        <v>0</v>
      </c>
      <c r="K21" s="2">
        <v>0</v>
      </c>
      <c r="L21" s="2">
        <v>1</v>
      </c>
      <c r="M21" s="2">
        <v>2</v>
      </c>
      <c r="N21" s="2">
        <v>0</v>
      </c>
      <c r="O21" s="2">
        <v>0</v>
      </c>
      <c r="P21" s="2">
        <v>2</v>
      </c>
      <c r="Q21" s="2">
        <v>3</v>
      </c>
      <c r="R21" s="2">
        <v>0</v>
      </c>
      <c r="S21" s="2">
        <v>0</v>
      </c>
      <c r="T21" s="2">
        <v>0</v>
      </c>
      <c r="U21" s="2">
        <v>1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1</v>
      </c>
    </row>
    <row r="22" spans="1:29" ht="15.75" customHeight="1"/>
    <row r="23" spans="1:29" ht="15.75" customHeight="1"/>
    <row r="24" spans="1:29" ht="15.75" customHeight="1"/>
    <row r="25" spans="1:29" ht="15.75" customHeight="1"/>
    <row r="26" spans="1:29" ht="15.75" customHeight="1"/>
    <row r="27" spans="1:29" ht="15.75" customHeight="1"/>
    <row r="28" spans="1:29" ht="15.75" customHeight="1"/>
    <row r="29" spans="1:29" ht="15.75" customHeight="1"/>
    <row r="30" spans="1:29" ht="15.75" customHeight="1"/>
    <row r="31" spans="1:29" ht="15.75" customHeight="1"/>
    <row r="32" spans="1:29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customSheetViews>
    <customSheetView guid="{D759690A-A0D8-44E5-A136-45926EDE3DE1}" filter="1" showAutoFilter="1">
      <pageMargins left="0.511811024" right="0.511811024" top="0.78740157499999996" bottom="0.78740157499999996" header="0.31496062000000002" footer="0.31496062000000002"/>
      <autoFilter ref="A1:E21" xr:uid="{59237B7A-4F97-4C95-B37A-01395C92D6D4}"/>
      <extLst>
        <ext uri="GoogleSheetsCustomDataVersion1">
          <go:sheetsCustomData xmlns:go="http://customooxmlschemas.google.com/" filterViewId="1193784750"/>
        </ext>
      </extLst>
    </customSheetView>
    <customSheetView guid="{FCB22770-5D50-47F2-A739-097820F08890}" filter="1" showAutoFilter="1">
      <pageMargins left="0.511811024" right="0.511811024" top="0.78740157499999996" bottom="0.78740157499999996" header="0.31496062000000002" footer="0.31496062000000002"/>
      <autoFilter ref="A1:E21" xr:uid="{11AFDEDB-C914-4156-9EAC-203361D1C561}"/>
      <extLst>
        <ext uri="GoogleSheetsCustomDataVersion1">
          <go:sheetsCustomData xmlns:go="http://customooxmlschemas.google.com/" filterViewId="1329367579"/>
        </ext>
      </extLst>
    </customSheetView>
  </customSheetViews>
  <pageMargins left="0.511811024" right="0.511811024" top="0.78740157499999996" bottom="0.78740157499999996" header="0.31496062000000002" footer="0.31496062000000002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6" id="{9E47D8C0-CBE8-410F-BA53-C0C84396030F}">
            <xm:f>F2&lt;('Configuração-Imóvel'!P2+'Configuração-Imóvel'!Q2)</xm:f>
            <x14:dxf>
              <fill>
                <patternFill>
                  <bgColor rgb="FFFF0000"/>
                </patternFill>
              </fill>
            </x14:dxf>
          </x14:cfRule>
          <x14:cfRule type="expression" priority="47" id="{C37C24E4-1BA9-40B6-9812-FDC9B65790B9}">
            <xm:f>F2&gt;('Configuração-Imóvel'!P2+'Configuração-Imóvel'!Q2)</xm:f>
            <x14:dxf>
              <fill>
                <patternFill>
                  <bgColor rgb="FFFFFF00"/>
                </patternFill>
              </fill>
            </x14:dxf>
          </x14:cfRule>
          <xm:sqref>F2:F21</xm:sqref>
        </x14:conditionalFormatting>
        <x14:conditionalFormatting xmlns:xm="http://schemas.microsoft.com/office/excel/2006/main">
          <x14:cfRule type="expression" priority="42" id="{F6979800-8D85-46C1-8644-18EFDB970FB1}">
            <xm:f>G2&gt;('Configuração-Imóvel'!P2+'Configuração-Imóvel'!Q2)</xm:f>
            <x14:dxf>
              <fill>
                <patternFill>
                  <bgColor rgb="FFFFFF00"/>
                </patternFill>
              </fill>
            </x14:dxf>
          </x14:cfRule>
          <x14:cfRule type="expression" priority="43" id="{914C011D-CC4D-4985-9F1A-D89964FA5E0B}">
            <xm:f>G2&lt;('Configuração-Imóvel'!P2+'Configuração-Imóvel'!Q2)</xm:f>
            <x14:dxf>
              <fill>
                <patternFill>
                  <bgColor rgb="FFFF0000"/>
                </patternFill>
              </fill>
            </x14:dxf>
          </x14:cfRule>
          <xm:sqref>G2:G21</xm:sqref>
        </x14:conditionalFormatting>
        <x14:conditionalFormatting xmlns:xm="http://schemas.microsoft.com/office/excel/2006/main">
          <x14:cfRule type="expression" priority="40" id="{C52B21D2-FE32-4204-993B-6621AE3EB0CD}">
            <xm:f>I2&gt;INDEX('Configuração-Imóvel'!$R$2:$R$21,MATCH(A2,'Configuração-Imóvel'!$A$2:$A$21,0))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41" id="{A0B3A2DD-E10A-44C9-91D8-40F157F6D434}">
            <xm:f>I2&lt;INDEX('Configuração-Imóvel'!$R$2:$R$21,MATCH(A2,'Configuração-Imóvel'!$A$2:$A$21,0))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I2:I21</xm:sqref>
        </x14:conditionalFormatting>
        <x14:conditionalFormatting xmlns:xm="http://schemas.microsoft.com/office/excel/2006/main">
          <x14:cfRule type="expression" priority="16" id="{BC1AAAFA-4B46-4BDA-B878-14A46529324D}">
            <xm:f>L2&gt;INDEX('Configuração-Imóvel'!$H$2:$H$21,MATCH(A2,'Configuração-Imóvel'!$A$2:$A$21,0))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38" id="{F946A116-26CC-4697-9B38-5E2249A4D1C5}">
            <xm:f>L2&lt;INDEX('Configuração-Imóvel'!$H$2:$H$21,MATCH(A2,'Configuração-Imóvel'!$A$2:$A$21,0))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L2:L21</xm:sqref>
        </x14:conditionalFormatting>
        <x14:conditionalFormatting xmlns:xm="http://schemas.microsoft.com/office/excel/2006/main">
          <x14:cfRule type="expression" priority="15" id="{61DEA208-62D4-4F50-B313-D2D41681A682}">
            <xm:f>M2&gt;INDEX('Configuração-Imóvel'!$F$2:$F$21,MATCH(A2,'Configuração-Imóvel'!$A$2:$A$21,0))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37" id="{765F33B1-8E67-4142-8752-B0A6F91DB2F7}">
            <xm:f>M2&lt;INDEX('Configuração-Imóvel'!$F$2:$F$21,MATCH(A2,'Configuração-Imóvel'!$A$2:$A$21,0))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M2:M21</xm:sqref>
        </x14:conditionalFormatting>
        <x14:conditionalFormatting xmlns:xm="http://schemas.microsoft.com/office/excel/2006/main">
          <x14:cfRule type="expression" priority="14" id="{DDFBED2C-F944-48E8-85A1-18F046DE77E3}">
            <xm:f>N2&gt;INDEX('Configuração-Imóvel'!$H$2:$H$21,MATCH(A2,'Configuração-Imóvel'!$A$2:$A$21,0))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36" id="{CB04FB14-1694-4B35-B690-CD25D563F49B}">
            <xm:f>N2&lt;INDEX('Configuração-Imóvel'!$H$2:$H$21,MATCH(A2,'Configuração-Imóvel'!$A$2:$A$21,0))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N2:N21</xm:sqref>
        </x14:conditionalFormatting>
        <x14:conditionalFormatting xmlns:xm="http://schemas.microsoft.com/office/excel/2006/main">
          <x14:cfRule type="expression" priority="35" id="{6426C045-B468-419F-9E30-46E350659C2F}">
            <xm:f>O2&lt;&gt;INDEX('Configuração-Imóvel'!$I$2:$I$21,MATCH(A2,'Configuração-Imóvel'!$A$2:$A$21,0))</xm:f>
            <x14:dxf>
              <fill>
                <patternFill>
                  <bgColor rgb="FFFFC000"/>
                </patternFill>
              </fill>
            </x14:dxf>
          </x14:cfRule>
          <xm:sqref>O2:O21</xm:sqref>
        </x14:conditionalFormatting>
        <x14:conditionalFormatting xmlns:xm="http://schemas.microsoft.com/office/excel/2006/main">
          <x14:cfRule type="expression" priority="13" id="{A77F5BCD-6DA7-4060-8730-013852D53B68}">
            <xm:f>P2&gt;INDEX('Configuração-Imóvel'!$G$2:$G$21,MATCH(A2,'Configuração-Imóvel'!$A$2:$A$21,0))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34" id="{675F7C3E-3714-41D2-A12B-7242F23EA4D5}">
            <xm:f>P2&lt;INDEX('Configuração-Imóvel'!$G$2:$G$21,MATCH(A2,'Configuração-Imóvel'!$A$2:$A$21,0))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P2:P21</xm:sqref>
        </x14:conditionalFormatting>
        <x14:conditionalFormatting xmlns:xm="http://schemas.microsoft.com/office/excel/2006/main">
          <x14:cfRule type="expression" priority="12" id="{E45A44F0-7CE8-4464-A432-550AF55B3FE8}">
            <xm:f>Q2&gt;INDEX('Configuração-Imóvel'!$R$2:$R$21,MATCH(A2,'Configuração-Imóvel'!$A$2:$A$21,0))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33" id="{5A807E40-61A7-43EA-ABF9-1D3B27BD32A9}">
            <xm:f>Q2&lt;INDEX('Configuração-Imóvel'!$R$2:$R$21,MATCH(A2,'Configuração-Imóvel'!$A$2:$A$21,0))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Q2:Q21</xm:sqref>
        </x14:conditionalFormatting>
        <x14:conditionalFormatting xmlns:xm="http://schemas.microsoft.com/office/excel/2006/main">
          <x14:cfRule type="expression" priority="11" id="{35E49D4F-C874-4824-AE39-FD0BA56132DC}">
            <xm:f>R2&gt;'Configuração-Imóvel'!F2+'Configuração-Imóvel'!J2</xm:f>
            <x14:dxf>
              <fill>
                <patternFill>
                  <bgColor rgb="FFFFFF00"/>
                </patternFill>
              </fill>
            </x14:dxf>
          </x14:cfRule>
          <x14:cfRule type="expression" priority="32" id="{4C65140F-EEAC-44DC-A013-80CD31B4AFD8}">
            <xm:f>R2&lt;'Configuração-Imóvel'!F2+'Configuração-Imóvel'!J2</xm:f>
            <x14:dxf>
              <fill>
                <patternFill>
                  <bgColor rgb="FFFF0000"/>
                </patternFill>
              </fill>
            </x14:dxf>
          </x14:cfRule>
          <xm:sqref>R2:R21</xm:sqref>
        </x14:conditionalFormatting>
        <x14:conditionalFormatting xmlns:xm="http://schemas.microsoft.com/office/excel/2006/main">
          <x14:cfRule type="expression" priority="10" id="{48CC224E-7076-4B89-A640-64570616CACD}">
            <xm:f>S2&gt;INDEX('Configuração-Imóvel'!$H$2:$H$21,MATCH(A2,'Configuração-Imóvel'!$A$2:$A$21,0))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31" id="{2B6DBD4A-0242-42EF-96FD-2E5EA9356BBD}">
            <xm:f>S2&lt;INDEX('Configuração-Imóvel'!$H$2:$H$21,MATCH(A2,'Configuração-Imóvel'!$A$2:$A$21,0))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S2:S21</xm:sqref>
        </x14:conditionalFormatting>
        <x14:conditionalFormatting xmlns:xm="http://schemas.microsoft.com/office/excel/2006/main">
          <x14:cfRule type="expression" priority="30" id="{E22DBD9F-4B55-4707-BADB-775D85882433}">
            <xm:f>T2&lt;&gt;INDEX('Configuração-Imóvel'!$I$2:$I$21,MATCH(A2,'Configuração-Imóvel'!$A$2:$A$21,0))</xm:f>
            <x14:dxf>
              <fill>
                <patternFill>
                  <bgColor rgb="FFFFC000"/>
                </patternFill>
              </fill>
            </x14:dxf>
          </x14:cfRule>
          <xm:sqref>T2:T21</xm:sqref>
        </x14:conditionalFormatting>
        <x14:conditionalFormatting xmlns:xm="http://schemas.microsoft.com/office/excel/2006/main">
          <x14:cfRule type="expression" priority="9" id="{DFC64D35-3172-43B0-A90D-C348A777E392}">
            <xm:f>U2&gt;INDEX('Configuração-Imóvel'!$G$2:$G$21,MATCH(A2,'Configuração-Imóvel'!$A$2:$A$21,0))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29" id="{6175E808-08BE-40DB-AFA7-D5DEAA4501B0}">
            <xm:f>U2&lt;INDEX('Configuração-Imóvel'!$G$2:$G$21,MATCH(A2,'Configuração-Imóvel'!$A$2:$A$21,0))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U2:U21</xm:sqref>
        </x14:conditionalFormatting>
        <x14:conditionalFormatting xmlns:xm="http://schemas.microsoft.com/office/excel/2006/main">
          <x14:cfRule type="expression" priority="8" id="{6B7A6F5A-A6D7-49A3-B7A6-A289A8D3506D}">
            <xm:f>V2&gt;INDEX('Configuração-Imóvel'!$F$2:$F$21,MATCH(A2,'Configuração-Imóvel'!$A$2:$A$21,0))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28" id="{48CC22AD-D973-41FD-9338-EDD07C80B85F}">
            <xm:f>V2&lt;INDEX('Configuração-Imóvel'!$F$2:$F$21,MATCH(A2,'Configuração-Imóvel'!$A$2:$A$21,0))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V2:V21</xm:sqref>
        </x14:conditionalFormatting>
        <x14:conditionalFormatting xmlns:xm="http://schemas.microsoft.com/office/excel/2006/main">
          <x14:cfRule type="expression" priority="7" id="{8B3C7656-69F0-48EC-B608-AF117D9B1F06}">
            <xm:f>W2&gt;INDEX('Configuração-Imóvel'!$H$2:$H$21,MATCH(A2,'Configuração-Imóvel'!$A$2:$A$21,0))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27" id="{4FB1B76C-EBA7-422B-8014-72A171846079}">
            <xm:f>W2&lt;INDEX('Configuração-Imóvel'!$H$2:$H$21,MATCH(A2,'Configuração-Imóvel'!$A$2:$A$21,0))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W2:W21</xm:sqref>
        </x14:conditionalFormatting>
        <x14:conditionalFormatting xmlns:xm="http://schemas.microsoft.com/office/excel/2006/main">
          <x14:cfRule type="expression" priority="6" id="{163C452F-948E-4C39-8556-6FA0529B8BDC}">
            <xm:f>X2&gt;INDEX('Configuração-Imóvel'!$G$2:$G$21,MATCH(A2,'Configuração-Imóvel'!$A$2:$A$21,0))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26" id="{64ACE544-A384-4AFA-BD20-197BE95CC530}">
            <xm:f>X2&lt;INDEX('Configuração-Imóvel'!$G$2:$G$21,MATCH(A2,'Configuração-Imóvel'!$A$2:$A$21,0))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X2:X21</xm:sqref>
        </x14:conditionalFormatting>
        <x14:conditionalFormatting xmlns:xm="http://schemas.microsoft.com/office/excel/2006/main">
          <x14:cfRule type="expression" priority="5" id="{3258DD0B-03B5-4DCA-AE10-ECDBF108B38A}">
            <xm:f>Y2&lt;INDEX('Configuração-Imóvel'!$H$2:$H$21,MATCH(A2,'Configuração-Imóvel'!$A$2:$A$21,0))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14:cfRule type="expression" priority="23" id="{FFF25790-0C62-4B13-80ED-F8B5C6B342E6}">
            <xm:f>Y2&gt;INDEX('Configuração-Imóvel'!$H$2:$H$21,MATCH(A2,'Configuração-Imóvel'!$A$2:$A$21,0))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m:sqref>Y2:Y21</xm:sqref>
        </x14:conditionalFormatting>
        <x14:conditionalFormatting xmlns:xm="http://schemas.microsoft.com/office/excel/2006/main">
          <x14:cfRule type="expression" priority="4" id="{20FDD1C2-F47B-404F-9210-F161F53D8C69}">
            <xm:f>Z2&gt;INDEX('Configuração-Imóvel'!$H$2:$H$21,MATCH(A2,'Configuração-Imóvel'!$A$2:$A$21,0))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22" id="{151D32DA-C66F-4768-A219-3CD7021D4A3C}">
            <xm:f>Z2&lt;INDEX('Configuração-Imóvel'!$F$2:$F$21,MATCH(A2,'Configuração-Imóvel'!$A$2:$A$21,0))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Z2:Z21</xm:sqref>
        </x14:conditionalFormatting>
        <x14:conditionalFormatting xmlns:xm="http://schemas.microsoft.com/office/excel/2006/main">
          <x14:cfRule type="expression" priority="3" id="{3E3A3149-39DD-42D2-A3D4-9C120880CA82}">
            <xm:f>AA2&gt;INDEX('Configuração-Imóvel'!$H$2:$H$21,MATCH(A2,'Configuração-Imóvel'!$A$2:$A$21,0))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21" id="{D92C921A-C9EB-4027-B831-5BE2D448B8B3}">
            <xm:f>AA2&lt;INDEX('Configuração-Imóvel'!$H$2:$H$21,MATCH(A2,'Configuração-Imóvel'!$A$2:$A$21,0))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AA2:AA21</xm:sqref>
        </x14:conditionalFormatting>
        <x14:conditionalFormatting xmlns:xm="http://schemas.microsoft.com/office/excel/2006/main">
          <x14:cfRule type="expression" priority="19" id="{D762E00D-3CF1-4C62-BF8F-AF33C34F06EA}">
            <xm:f>AB2&lt;&gt;INDEX('Configuração-Imóvel'!$I$2:$I$21,MATCH(A2,'Configuração-Imóvel'!$A$2:$A$21,0))</xm:f>
            <x14:dxf>
              <fill>
                <patternFill>
                  <bgColor rgb="FFFFC000"/>
                </patternFill>
              </fill>
            </x14:dxf>
          </x14:cfRule>
          <xm:sqref>AB2:AB21</xm:sqref>
        </x14:conditionalFormatting>
        <x14:conditionalFormatting xmlns:xm="http://schemas.microsoft.com/office/excel/2006/main">
          <x14:cfRule type="expression" priority="1" id="{54E796BD-B234-42AC-9D1D-B36AC44FB115}">
            <xm:f>AC2&gt;INDEX('Configuração-Imóvel'!$G$2:$G$21,MATCH(A2,'Configuração-Imóvel'!$A$2:$A$21,0))</xm:f>
            <x14:dxf>
              <fill>
                <patternFill>
                  <bgColor rgb="FFFFFF00"/>
                </patternFill>
              </fill>
            </x14:dxf>
          </x14:cfRule>
          <x14:cfRule type="expression" priority="17" id="{0283FD5A-BDA2-4244-92A2-926EB7EFFACB}">
            <xm:f>AC2&lt;INDEX('Configuração-Imóvel'!$G$2:$G$21,MATCH(A2,'Configuração-Imóvel'!$A$2:$A$21,0))</xm:f>
            <x14:dxf>
              <fill>
                <patternFill>
                  <bgColor rgb="FFFF0000"/>
                </patternFill>
              </fill>
            </x14:dxf>
          </x14:cfRule>
          <xm:sqref>AC2:AC21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TaxaLimpeza (Proposta)</vt:lpstr>
      <vt:lpstr>Diferença Atual e Proposta </vt:lpstr>
      <vt:lpstr>TaxaLimpeza (Atual)</vt:lpstr>
      <vt:lpstr>BD - Valor Lavanderia Por Item</vt:lpstr>
      <vt:lpstr>BD - Valor Limpeza Diarista</vt:lpstr>
      <vt:lpstr>BD - Itens x Peso</vt:lpstr>
      <vt:lpstr>BD - Amenities</vt:lpstr>
      <vt:lpstr>BD - Material de Limpeza</vt:lpstr>
      <vt:lpstr>Configuração-Imóvel</vt:lpstr>
      <vt:lpstr>Estoque-Imóvel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Lúcio Torres</dc:creator>
  <cp:lastModifiedBy>Lúcio Torres</cp:lastModifiedBy>
  <dcterms:created xsi:type="dcterms:W3CDTF">2025-04-15T20:42:04Z</dcterms:created>
  <dcterms:modified xsi:type="dcterms:W3CDTF">2025-04-18T17:25:27Z</dcterms:modified>
</cp:coreProperties>
</file>